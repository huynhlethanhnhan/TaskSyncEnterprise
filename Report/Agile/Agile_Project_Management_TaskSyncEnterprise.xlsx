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TaskSyncEnterprise\Report\Agile\"/>
    </mc:Choice>
  </mc:AlternateContent>
  <xr:revisionPtr revIDLastSave="0" documentId="8_{1AC0FCD9-0800-47D4-A3A5-91FE0AA3B330}" xr6:coauthVersionLast="47" xr6:coauthVersionMax="47" xr10:uidLastSave="{00000000-0000-0000-0000-000000000000}"/>
  <bookViews>
    <workbookView xWindow="-108" yWindow="-108" windowWidth="23256" windowHeight="12456" activeTab="6" xr2:uid="{00000000-000D-0000-FFFF-FFFF00000000}"/>
  </bookViews>
  <sheets>
    <sheet name="Hướng dẫn đọc" sheetId="1" r:id="rId1"/>
    <sheet name="Tổng quan" sheetId="2" r:id="rId2"/>
    <sheet name="Product Backlog" sheetId="3" r:id="rId3"/>
    <sheet name="Sprint 1" sheetId="4" r:id="rId4"/>
    <sheet name="Sprint 2" sheetId="5" r:id="rId5"/>
    <sheet name="Epic" sheetId="6" r:id="rId6"/>
    <sheet name="Danh mục" sheetId="7" r:id="rId7"/>
  </sheets>
  <calcPr calcId="191029"/>
  <fileRecoveryPr repairLoad="1"/>
</workbook>
</file>

<file path=xl/calcChain.xml><?xml version="1.0" encoding="utf-8"?>
<calcChain xmlns="http://schemas.openxmlformats.org/spreadsheetml/2006/main">
  <c r="B10" i="2" l="1"/>
  <c r="E9" i="2"/>
  <c r="B9" i="2"/>
  <c r="E8" i="2"/>
  <c r="B8" i="2"/>
  <c r="E7" i="2"/>
  <c r="B7" i="2"/>
  <c r="E6" i="2"/>
  <c r="B6" i="2"/>
</calcChain>
</file>

<file path=xl/sharedStrings.xml><?xml version="1.0" encoding="utf-8"?>
<sst xmlns="http://schemas.openxmlformats.org/spreadsheetml/2006/main" count="1492" uniqueCount="415">
  <si>
    <t>HƯỚNG DẪN ĐỌC FILE
Quản lý Product Backlog và phạm vi hai Sprint</t>
  </si>
  <si>
    <t>Màu</t>
  </si>
  <si>
    <t>Ý nghĩa</t>
  </si>
  <si>
    <t>Cách sử dụng</t>
  </si>
  <si>
    <t>Nguồn</t>
  </si>
  <si>
    <t>Cập nhật bởi</t>
  </si>
  <si>
    <t>Thời điểm</t>
  </si>
  <si>
    <t>Lưu ý</t>
  </si>
  <si>
    <t>Xanh lá</t>
  </si>
  <si>
    <t>Hoàn thành và đã xác minh</t>
  </si>
  <si>
    <t>Có mã nguồn, kiểm thử hoặc demo</t>
  </si>
  <si>
    <t>Git/Jira/giao diện</t>
  </si>
  <si>
    <t>Người xác minh</t>
  </si>
  <si>
    <t>Sau khi kiểm tra</t>
  </si>
  <si>
    <t>Không chỉ dựa vào trạng thái Jira</t>
  </si>
  <si>
    <t>Xanh dương</t>
  </si>
  <si>
    <t>Đã hỗ trợ hoặc có bằng chứng kỹ thuật</t>
  </si>
  <si>
    <t>Dùng cho hỗ trợ/debug/kiểm thử</t>
  </si>
  <si>
    <t>Git/Jira/biên bản</t>
  </si>
  <si>
    <t>Scrum Team</t>
  </si>
  <si>
    <t>Trong Sprint</t>
  </si>
  <si>
    <t>Không đồng nghĩa làm chính</t>
  </si>
  <si>
    <t>Vàng</t>
  </si>
  <si>
    <t>Sơ khai hoặc đang thực hiện</t>
  </si>
  <si>
    <t>Chức năng có nhưng chưa hoàn thiện</t>
  </si>
  <si>
    <t>Mã nguồn/demo</t>
  </si>
  <si>
    <t>Người phụ trách</t>
  </si>
  <si>
    <t>Cần kiểm thử thêm</t>
  </si>
  <si>
    <t>Cam</t>
  </si>
  <si>
    <t>Chưa xác minh</t>
  </si>
  <si>
    <t>Có tên trên Jira nhưng thiếu minh chứng</t>
  </si>
  <si>
    <t>Jira</t>
  </si>
  <si>
    <t>Product Owner</t>
  </si>
  <si>
    <t>Khi rà soát</t>
  </si>
  <si>
    <t>Không tính là hoàn thành đã xác minh</t>
  </si>
  <si>
    <t>Đỏ</t>
  </si>
  <si>
    <t>Chưa có sản phẩm bàn giao</t>
  </si>
  <si>
    <t>Công việc được giao nhưng chưa có kết quả</t>
  </si>
  <si>
    <t>Biên bản nhóm</t>
  </si>
  <si>
    <t>Cuối Sprint</t>
  </si>
  <si>
    <t>Cách viết trung tính</t>
  </si>
  <si>
    <t>Xám</t>
  </si>
  <si>
    <t>Kế hoạch Sprint 2</t>
  </si>
  <si>
    <t>Chưa thuộc phạm vi giữa kỳ</t>
  </si>
  <si>
    <t>Product Backlog</t>
  </si>
  <si>
    <t>Sau 23/07</t>
  </si>
  <si>
    <t>Không dùng để tính kết quả Sprint 1</t>
  </si>
  <si>
    <t>QUY ƯỚC SPRINT</t>
  </si>
  <si>
    <t>Tên sử dụng</t>
  </si>
  <si>
    <t>Nguồn được gộp</t>
  </si>
  <si>
    <t>Bắt đầu</t>
  </si>
  <si>
    <t>Kết thúc</t>
  </si>
  <si>
    <t>Trạng thái</t>
  </si>
  <si>
    <t>Mục đích</t>
  </si>
  <si>
    <t>Ghi chú</t>
  </si>
  <si>
    <t>Sprint 1</t>
  </si>
  <si>
    <t>Sprint cũ 1 + 2</t>
  </si>
  <si>
    <t>Giữa kỳ</t>
  </si>
  <si>
    <t>Phạm vi nộp giữa kỳ</t>
  </si>
  <si>
    <t>Chỉ ghi kết quả đã xác minh</t>
  </si>
  <si>
    <t>Sprint 2</t>
  </si>
  <si>
    <t>Sprint cũ 3 + 4</t>
  </si>
  <si>
    <t>Dự kiến</t>
  </si>
  <si>
    <t>Tiếp tục hoàn thiện</t>
  </si>
  <si>
    <t>Các mốc có thể cập nhật</t>
  </si>
  <si>
    <t>AGILE PROJECT MANAGEMENT
TaskSyncEnterprise - giữa kỳ tập trung Sprint 1</t>
  </si>
  <si>
    <t>CHỈ SỐ CHÍNH</t>
  </si>
  <si>
    <t>TRẠNG THÁI JIRA</t>
  </si>
  <si>
    <t>Chỉ số</t>
  </si>
  <si>
    <t>Giá trị</t>
  </si>
  <si>
    <t>Số lượng</t>
  </si>
  <si>
    <t>Tổng User Story</t>
  </si>
  <si>
    <t>Hoàn thành</t>
  </si>
  <si>
    <t>User Story Sprint 1</t>
  </si>
  <si>
    <t>Đang thực hiện</t>
  </si>
  <si>
    <t>User Story Sprint 2</t>
  </si>
  <si>
    <t>Cần làm</t>
  </si>
  <si>
    <t>Tổng Story Point</t>
  </si>
  <si>
    <t>Chưa tạo riêng trên Jira</t>
  </si>
  <si>
    <t>Story Point Sprint 1</t>
  </si>
  <si>
    <t>KẾT LUẬN ĐỌC NHANH</t>
  </si>
  <si>
    <t>Sprint 1 được dùng cho báo cáo giữa kỳ, từ 02/07/2026 đến 23/07/2026. Trạng thái Jira và trạng thái đã xác minh được tách riêng vì Jira phản ánh phân công nhưng không đủ chứng minh người được giao đã trực tiếp triển khai. Lịch sử Git trong giai đoạn Sprint 1 ghi nhận 79 commit dưới các biến thể tên tài khoản của Huỳnh Lê Thành Nhân.</t>
  </si>
  <si>
    <t>PRODUCT BACKLOG
50 User Story - tiếng Việt - tách trạng thái Jira và trạng thái đã xác minh</t>
  </si>
  <si>
    <t>Mã</t>
  </si>
  <si>
    <t>Epic</t>
  </si>
  <si>
    <t>Tên User Story</t>
  </si>
  <si>
    <t>Câu chuyện người dùng</t>
  </si>
  <si>
    <t>Ưu tiên</t>
  </si>
  <si>
    <t>Điểm</t>
  </si>
  <si>
    <t>Sprint</t>
  </si>
  <si>
    <t>Trạng thái Jira</t>
  </si>
  <si>
    <t>Trạng thái đã xác minh</t>
  </si>
  <si>
    <t>Người được giao trên Jira</t>
  </si>
  <si>
    <t>Người thực hiện/xác minh</t>
  </si>
  <si>
    <t>Tiêu chí chấp nhận</t>
  </si>
  <si>
    <t>Ngày kết thúc Sprint</t>
  </si>
  <si>
    <t>US01</t>
  </si>
  <si>
    <t>JD-14</t>
  </si>
  <si>
    <t>EP01</t>
  </si>
  <si>
    <t>Đăng nhập người dùng an toàn</t>
  </si>
  <si>
    <t>Là người dùng hệ thống, tôi muốn đăng nhập người dùng an toàn để truy cập đúng quyền và bảo vệ phiên làm việc.</t>
  </si>
  <si>
    <t>Cao</t>
  </si>
  <si>
    <t>Hoàn thành và có thể demo</t>
  </si>
  <si>
    <t>Nhân Huỳnh Lê Thành</t>
  </si>
  <si>
    <t>Huỳnh Lê Thành Nhân</t>
  </si>
  <si>
    <t>Chức năng “Đăng nhập người dùng an toàn” xử lý được dữ liệu hợp lệ; trường hợp sai dữ liệu hoặc sai quyền có thông báo rõ ràng; dữ liệu lưu nhất quán và có thể kiểm tra lại bằng mã nguồn, kiểm thử hoặc giao diện.</t>
  </si>
  <si>
    <t>US02</t>
  </si>
  <si>
    <t>JD-15</t>
  </si>
  <si>
    <t>Tự động gia hạn phiên đăng nhập</t>
  </si>
  <si>
    <t>Là người dùng hệ thống, tôi muốn tự động gia hạn phiên đăng nhập để truy cập đúng quyền và bảo vệ phiên làm việc.</t>
  </si>
  <si>
    <t>Thấp</t>
  </si>
  <si>
    <t>Hoàn thành phần chính</t>
  </si>
  <si>
    <t>Mạnh Nguyễn Đức</t>
  </si>
  <si>
    <t>Huỳnh Lê Thành Nhân (chính); Nguyễn Đức Mạnh (kiểm thử)</t>
  </si>
  <si>
    <t>Chức năng “Tự động gia hạn phiên đăng nhập” xử lý được dữ liệu hợp lệ; trường hợp sai dữ liệu hoặc sai quyền có thông báo rõ ràng; dữ liệu lưu nhất quán và có thể kiểm tra lại bằng mã nguồn, kiểm thử hoặc giao diện.</t>
  </si>
  <si>
    <t>US03</t>
  </si>
  <si>
    <t>JD-16</t>
  </si>
  <si>
    <t>Thiết lập danh mục vai trò</t>
  </si>
  <si>
    <t>Là người dùng hệ thống, tôi muốn thiết lập danh mục vai trò để truy cập đúng quyền và bảo vệ phiên làm việc.</t>
  </si>
  <si>
    <t>Trung bình</t>
  </si>
  <si>
    <t>Nguyễn Lê Huy Hoàng (?)</t>
  </si>
  <si>
    <t>Huỳnh Lê Thành Nhân (mã nguồn); Nguyễn Lê Huy Hoàng (cần xác minh kiểm thử)</t>
  </si>
  <si>
    <t>Chức năng “Thiết lập danh mục vai trò” xử lý được dữ liệu hợp lệ; trường hợp sai dữ liệu hoặc sai quyền có thông báo rõ ràng; dữ liệu lưu nhất quán và có thể kiểm tra lại bằng mã nguồn, kiểm thử hoặc giao diện.</t>
  </si>
  <si>
    <t>US04</t>
  </si>
  <si>
    <t>JD-17</t>
  </si>
  <si>
    <t>Kiểm soát truy cập theo vai trò</t>
  </si>
  <si>
    <t>Là người dùng hệ thống, tôi muốn kiểm soát truy cập theo vai trò để truy cập đúng quyền và bảo vệ phiên làm việc.</t>
  </si>
  <si>
    <t>Chức năng “Kiểm soát truy cập theo vai trò” xử lý được dữ liệu hợp lệ; trường hợp sai dữ liệu hoặc sai quyền có thông báo rõ ràng; dữ liệu lưu nhất quán và có thể kiểm tra lại bằng mã nguồn, kiểm thử hoặc giao diện.</t>
  </si>
  <si>
    <t>US05</t>
  </si>
  <si>
    <t>JD-18</t>
  </si>
  <si>
    <t>EP02</t>
  </si>
  <si>
    <t>Tạo hồ sơ nhân viên</t>
  </si>
  <si>
    <t>Là quản trị viên nhân sự, tôi muốn tạo hồ sơ nhân viên để quản lý hồ sơ nhân sự nhất quán.</t>
  </si>
  <si>
    <t>Sơ khai tại cuối Sprint 1</t>
  </si>
  <si>
    <t>Chức năng “Tạo hồ sơ nhân viên” xử lý được dữ liệu hợp lệ; trường hợp sai dữ liệu hoặc sai quyền có thông báo rõ ràng; dữ liệu lưu nhất quán và có thể kiểm tra lại bằng mã nguồn, kiểm thử hoặc giao diện.</t>
  </si>
  <si>
    <t>Jira; Jira được cập nhật sau mốc kết thúc Sprint 1</t>
  </si>
  <si>
    <t>US06</t>
  </si>
  <si>
    <t>JD-19</t>
  </si>
  <si>
    <t>Nhập danh sách nhân viên hàng loạt</t>
  </si>
  <si>
    <t>Là quản trị viên nhân sự, tôi muốn nhập danh sách nhân viên hàng loạt để quản lý hồ sơ nhân sự nhất quán.</t>
  </si>
  <si>
    <t>Kế hoạch hoặc thực hiện sau ngày 23/07/2026</t>
  </si>
  <si>
    <t>Phạm Tuấn Anh</t>
  </si>
  <si>
    <t>Phạm Tuấn Anh được giao trên Jira; chưa có sản phẩm bàn giao để xác minh</t>
  </si>
  <si>
    <t>Chức năng “Nhập danh sách nhân viên hàng loạt” xử lý được dữ liệu hợp lệ; trường hợp sai dữ liệu hoặc sai quyền có thông báo rõ ràng; dữ liệu lưu nhất quán và có thể kiểm tra lại bằng mã nguồn, kiểm thử hoặc giao diện.</t>
  </si>
  <si>
    <t>Dự kiến hoặc tiếp tục xác minh sau giữa kỳ</t>
  </si>
  <si>
    <t>US07</t>
  </si>
  <si>
    <t>JD-20</t>
  </si>
  <si>
    <t>Gán người quản lý trực tiếp</t>
  </si>
  <si>
    <t>Là quản trị viên nhân sự, tôi muốn gán người quản lý trực tiếp để quản lý hồ sơ nhân sự nhất quán.</t>
  </si>
  <si>
    <t>Chức năng “Gán người quản lý trực tiếp” xử lý được dữ liệu hợp lệ; trường hợp sai dữ liệu hoặc sai quyền có thông báo rõ ràng; dữ liệu lưu nhất quán và có thể kiểm tra lại bằng mã nguồn, kiểm thử hoặc giao diện.</t>
  </si>
  <si>
    <t>US08</t>
  </si>
  <si>
    <t>JD-21</t>
  </si>
  <si>
    <t>EP03</t>
  </si>
  <si>
    <t>Thiết lập cơ cấu phòng ban</t>
  </si>
  <si>
    <t>Là quản trị viên tổ chức, tôi muốn thiết lập cơ cấu phòng ban để duy trì cơ cấu tổ chức rõ ràng.</t>
  </si>
  <si>
    <t>Chức năng “Thiết lập cơ cấu phòng ban” xử lý được dữ liệu hợp lệ; trường hợp sai dữ liệu hoặc sai quyền có thông báo rõ ràng; dữ liệu lưu nhất quán và có thể kiểm tra lại bằng mã nguồn, kiểm thử hoặc giao diện.</t>
  </si>
  <si>
    <t>US09</t>
  </si>
  <si>
    <t>JD-22</t>
  </si>
  <si>
    <t>Bổ nhiệm trưởng phòng</t>
  </si>
  <si>
    <t>Là quản trị viên tổ chức, tôi muốn bổ nhiệm trưởng phòng để duy trì cơ cấu tổ chức rõ ràng.</t>
  </si>
  <si>
    <t>Chức năng “Bổ nhiệm trưởng phòng” xử lý được dữ liệu hợp lệ; trường hợp sai dữ liệu hoặc sai quyền có thông báo rõ ràng; dữ liệu lưu nhất quán và có thể kiểm tra lại bằng mã nguồn, kiểm thử hoặc giao diện.</t>
  </si>
  <si>
    <t>US10</t>
  </si>
  <si>
    <t>JD-23</t>
  </si>
  <si>
    <t>Phê duyệt chuyển phòng ban</t>
  </si>
  <si>
    <t>Là quản trị viên tổ chức, tôi muốn phê duyệt chuyển phòng ban để duy trì cơ cấu tổ chức rõ ràng.</t>
  </si>
  <si>
    <t>Hoàn thành theo mã nguồn, cần kiểm thử lại</t>
  </si>
  <si>
    <t>Chức năng “Phê duyệt chuyển phòng ban” xử lý được dữ liệu hợp lệ; trường hợp sai dữ liệu hoặc sai quyền có thông báo rõ ràng; dữ liệu lưu nhất quán và có thể kiểm tra lại bằng mã nguồn, kiểm thử hoặc giao diện.</t>
  </si>
  <si>
    <t>US11</t>
  </si>
  <si>
    <t>JD-24</t>
  </si>
  <si>
    <t>EP04</t>
  </si>
  <si>
    <t>Tạo dự án theo các bước hướng dẫn</t>
  </si>
  <si>
    <t>Là quản lý dự án, tôi muốn tạo dự án theo các bước hướng dẫn để lập kế hoạch và phân công nguồn lực minh bạch.</t>
  </si>
  <si>
    <t>Hoàn thành phần chính theo mã nguồn</t>
  </si>
  <si>
    <t>Chức năng “Tạo dự án theo các bước hướng dẫn” xử lý được dữ liệu hợp lệ; trường hợp sai dữ liệu hoặc sai quyền có thông báo rõ ràng; dữ liệu lưu nhất quán và có thể kiểm tra lại bằng mã nguồn, kiểm thử hoặc giao diện.</t>
  </si>
  <si>
    <t>US12</t>
  </si>
  <si>
    <t>JD-25</t>
  </si>
  <si>
    <t>Phân công thành viên vào dự án</t>
  </si>
  <si>
    <t>Là quản lý dự án, tôi muốn phân công thành viên vào dự án để lập kế hoạch và phân công nguồn lực minh bạch.</t>
  </si>
  <si>
    <t>Chức năng “Phân công thành viên vào dự án” xử lý được dữ liệu hợp lệ; trường hợp sai dữ liệu hoặc sai quyền có thông báo rõ ràng; dữ liệu lưu nhất quán và có thể kiểm tra lại bằng mã nguồn, kiểm thử hoặc giao diện.</t>
  </si>
  <si>
    <t>US13</t>
  </si>
  <si>
    <t>JD-26</t>
  </si>
  <si>
    <t>Theo dõi cột mốc dự án</t>
  </si>
  <si>
    <t>Là quản lý dự án, tôi muốn theo dõi cột mốc dự án để lập kế hoạch và phân công nguồn lực minh bạch.</t>
  </si>
  <si>
    <t>Chưa giao</t>
  </si>
  <si>
    <t>Chức năng “Theo dõi cột mốc dự án” xử lý được dữ liệu hợp lệ; trường hợp sai dữ liệu hoặc sai quyền có thông báo rõ ràng; dữ liệu lưu nhất quán và có thể kiểm tra lại bằng mã nguồn, kiểm thử hoặc giao diện.</t>
  </si>
  <si>
    <t>US14</t>
  </si>
  <si>
    <t>JD-27</t>
  </si>
  <si>
    <t>EP05</t>
  </si>
  <si>
    <t>Tạo và chỉnh sửa công việc</t>
  </si>
  <si>
    <t>Là thành viên dự án, tôi muốn tạo và chỉnh sửa công việc để theo dõi tiến độ công việc hiệu quả.</t>
  </si>
  <si>
    <t>Chức năng “Tạo và chỉnh sửa công việc” xử lý được dữ liệu hợp lệ; trường hợp sai dữ liệu hoặc sai quyền có thông báo rõ ràng; dữ liệu lưu nhất quán và có thể kiểm tra lại bằng mã nguồn, kiểm thử hoặc giao diện.</t>
  </si>
  <si>
    <t>US15</t>
  </si>
  <si>
    <t>JD-28</t>
  </si>
  <si>
    <t>Theo dõi công việc trên bảng Kanban</t>
  </si>
  <si>
    <t>Là thành viên dự án, tôi muốn theo dõi công việc trên bảng kanban để theo dõi tiến độ công việc hiệu quả.</t>
  </si>
  <si>
    <t>Chức năng “Theo dõi công việc trên bảng Kanban” xử lý được dữ liệu hợp lệ; trường hợp sai dữ liệu hoặc sai quyền có thông báo rõ ràng; dữ liệu lưu nhất quán và có thể kiểm tra lại bằng mã nguồn, kiểm thử hoặc giao diện.</t>
  </si>
  <si>
    <t>US16</t>
  </si>
  <si>
    <t>JD-29</t>
  </si>
  <si>
    <t>Theo dõi quan hệ phụ thuộc công việc</t>
  </si>
  <si>
    <t>Là thành viên dự án, tôi muốn theo dõi quan hệ phụ thuộc công việc để theo dõi tiến độ công việc hiệu quả.</t>
  </si>
  <si>
    <t>Có sơ đồ và mô hình phụ thuộc</t>
  </si>
  <si>
    <t>Chức năng “Theo dõi quan hệ phụ thuộc công việc” xử lý được dữ liệu hợp lệ; trường hợp sai dữ liệu hoặc sai quyền có thông báo rõ ràng; dữ liệu lưu nhất quán và có thể kiểm tra lại bằng mã nguồn, kiểm thử hoặc giao diện.</t>
  </si>
  <si>
    <t>US17</t>
  </si>
  <si>
    <t>JD-30</t>
  </si>
  <si>
    <t>Lọc danh sách yêu cầu nâng cao</t>
  </si>
  <si>
    <t>Là thành viên dự án, tôi muốn lọc danh sách yêu cầu nâng cao để theo dõi tiến độ công việc hiệu quả.</t>
  </si>
  <si>
    <t>Đang hoàn thiện</t>
  </si>
  <si>
    <t>Chức năng “Lọc danh sách yêu cầu nâng cao” xử lý được dữ liệu hợp lệ; trường hợp sai dữ liệu hoặc sai quyền có thông báo rõ ràng; dữ liệu lưu nhất quán và có thể kiểm tra lại bằng mã nguồn, kiểm thử hoặc giao diện.</t>
  </si>
  <si>
    <t>US18</t>
  </si>
  <si>
    <t>JD-31</t>
  </si>
  <si>
    <t>Phân rã yêu cầu thành công việc nhỏ</t>
  </si>
  <si>
    <t>Là thành viên dự án, tôi muốn phân rã yêu cầu thành công việc nhỏ để theo dõi tiến độ công việc hiệu quả.</t>
  </si>
  <si>
    <t>Chức năng “Phân rã yêu cầu thành công việc nhỏ” xử lý được dữ liệu hợp lệ; trường hợp sai dữ liệu hoặc sai quyền có thông báo rõ ràng; dữ liệu lưu nhất quán và có thể kiểm tra lại bằng mã nguồn, kiểm thử hoặc giao diện.</t>
  </si>
  <si>
    <t>US19</t>
  </si>
  <si>
    <t>JD-32</t>
  </si>
  <si>
    <t>EP06</t>
  </si>
  <si>
    <t>Trao đổi bằng luồng bình luận</t>
  </si>
  <si>
    <t>Là thành viên nhóm, tôi muốn trao đổi bằng luồng bình luận để trao đổi và phối hợp công việc thuận tiện.</t>
  </si>
  <si>
    <t>Chức năng “Trao đổi bằng luồng bình luận” xử lý được dữ liệu hợp lệ; trường hợp sai dữ liệu hoặc sai quyền có thông báo rõ ràng; dữ liệu lưu nhất quán và có thể kiểm tra lại bằng mã nguồn, kiểm thử hoặc giao diện.</t>
  </si>
  <si>
    <t>US20</t>
  </si>
  <si>
    <t>JD-33</t>
  </si>
  <si>
    <t>Thông báo khi người dùng được nhắc tên</t>
  </si>
  <si>
    <t>Là thành viên nhóm, tôi muốn thông báo khi người dùng được nhắc tên để trao đổi và phối hợp công việc thuận tiện.</t>
  </si>
  <si>
    <t>Sơ khai</t>
  </si>
  <si>
    <t>Chức năng “Thông báo khi người dùng được nhắc tên” xử lý được dữ liệu hợp lệ; trường hợp sai dữ liệu hoặc sai quyền có thông báo rõ ràng; dữ liệu lưu nhất quán và có thể kiểm tra lại bằng mã nguồn, kiểm thử hoặc giao diện.</t>
  </si>
  <si>
    <t>US21</t>
  </si>
  <si>
    <t>JD-34</t>
  </si>
  <si>
    <t>EP07</t>
  </si>
  <si>
    <t>Bảo vệ tệp đính kèm công việc</t>
  </si>
  <si>
    <t>Là người dùng dự án, tôi muốn bảo vệ tệp đính kèm công việc để quản lý tài liệu an toàn và có thể truy vết.</t>
  </si>
  <si>
    <t>Chức năng “Bảo vệ tệp đính kèm công việc” xử lý được dữ liệu hợp lệ; trường hợp sai dữ liệu hoặc sai quyền có thông báo rõ ràng; dữ liệu lưu nhất quán và có thể kiểm tra lại bằng mã nguồn, kiểm thử hoặc giao diện.</t>
  </si>
  <si>
    <t>US22</t>
  </si>
  <si>
    <t>JD-35</t>
  </si>
  <si>
    <t>Tải nhiều tài liệu cùng lúc</t>
  </si>
  <si>
    <t>Là người dùng dự án, tôi muốn tải nhiều tài liệu cùng lúc để quản lý tài liệu an toàn và có thể truy vết.</t>
  </si>
  <si>
    <t>Có mã nguồn, chưa xác minh bằng demo</t>
  </si>
  <si>
    <t>Chức năng “Tải nhiều tài liệu cùng lúc” xử lý được dữ liệu hợp lệ; trường hợp sai dữ liệu hoặc sai quyền có thông báo rõ ràng; dữ liệu lưu nhất quán và có thể kiểm tra lại bằng mã nguồn, kiểm thử hoặc giao diện.</t>
  </si>
  <si>
    <t>US23</t>
  </si>
  <si>
    <t>JD-36</t>
  </si>
  <si>
    <t>Dọn dẹp tệp không còn sử dụng</t>
  </si>
  <si>
    <t>Là người dùng dự án, tôi muốn dọn dẹp tệp không còn sử dụng để quản lý tài liệu an toàn và có thể truy vết.</t>
  </si>
  <si>
    <t>Chức năng “Dọn dẹp tệp không còn sử dụng” xử lý được dữ liệu hợp lệ; trường hợp sai dữ liệu hoặc sai quyền có thông báo rõ ràng; dữ liệu lưu nhất quán và có thể kiểm tra lại bằng mã nguồn, kiểm thử hoặc giao diện.</t>
  </si>
  <si>
    <t>US24</t>
  </si>
  <si>
    <t>JD-37</t>
  </si>
  <si>
    <t>EP08</t>
  </si>
  <si>
    <t>Gửi yêu cầu nghỉ phép</t>
  </si>
  <si>
    <t>Là nhân viên, tôi muốn gửi yêu cầu nghỉ phép để thực hiện quy trình nghỉ phép đúng quy định.</t>
  </si>
  <si>
    <t>Chức năng “Gửi yêu cầu nghỉ phép” xử lý được dữ liệu hợp lệ; trường hợp sai dữ liệu hoặc sai quyền có thông báo rõ ràng; dữ liệu lưu nhất quán và có thể kiểm tra lại bằng mã nguồn, kiểm thử hoặc giao diện.</t>
  </si>
  <si>
    <t>US25</t>
  </si>
  <si>
    <t>JD-38</t>
  </si>
  <si>
    <t>Phê duyệt yêu cầu nghỉ phép</t>
  </si>
  <si>
    <t>Là nhân viên, tôi muốn phê duyệt yêu cầu nghỉ phép để thực hiện quy trình nghỉ phép đúng quy định.</t>
  </si>
  <si>
    <t>Chức năng “Phê duyệt yêu cầu nghỉ phép” xử lý được dữ liệu hợp lệ; trường hợp sai dữ liệu hoặc sai quyền có thông báo rõ ràng; dữ liệu lưu nhất quán và có thể kiểm tra lại bằng mã nguồn, kiểm thử hoặc giao diện.</t>
  </si>
  <si>
    <t>US26</t>
  </si>
  <si>
    <t>JD-39</t>
  </si>
  <si>
    <t>Tính số dư phép năm</t>
  </si>
  <si>
    <t>Là nhân viên, tôi muốn tính số dư phép năm để thực hiện quy trình nghỉ phép đúng quy định.</t>
  </si>
  <si>
    <t>Chức năng “Tính số dư phép năm” xử lý được dữ liệu hợp lệ; trường hợp sai dữ liệu hoặc sai quyền có thông báo rõ ràng; dữ liệu lưu nhất quán và có thể kiểm tra lại bằng mã nguồn, kiểm thử hoặc giao diện.</t>
  </si>
  <si>
    <t>US27</t>
  </si>
  <si>
    <t>JD-40</t>
  </si>
  <si>
    <t>Hủy yêu cầu nghỉ khẩn cấp</t>
  </si>
  <si>
    <t>Là nhân viên, tôi muốn hủy yêu cầu nghỉ khẩn cấp để thực hiện quy trình nghỉ phép đúng quy định.</t>
  </si>
  <si>
    <t>Chức năng “Hủy yêu cầu nghỉ khẩn cấp” xử lý được dữ liệu hợp lệ; trường hợp sai dữ liệu hoặc sai quyền có thông báo rõ ràng; dữ liệu lưu nhất quán và có thể kiểm tra lại bằng mã nguồn, kiểm thử hoặc giao diện.</t>
  </si>
  <si>
    <t>US28</t>
  </si>
  <si>
    <t>JD-41</t>
  </si>
  <si>
    <t>EP09</t>
  </si>
  <si>
    <t>Gửi yêu cầu làm thêm giờ</t>
  </si>
  <si>
    <t>Là nhân viên, tôi muốn gửi yêu cầu làm thêm giờ để thực hiện quy trình làm thêm giờ đúng quy định.</t>
  </si>
  <si>
    <t>Chức năng “Gửi yêu cầu làm thêm giờ” xử lý được dữ liệu hợp lệ; trường hợp sai dữ liệu hoặc sai quyền có thông báo rõ ràng; dữ liệu lưu nhất quán và có thể kiểm tra lại bằng mã nguồn, kiểm thử hoặc giao diện.</t>
  </si>
  <si>
    <t>US29</t>
  </si>
  <si>
    <t>JD-42</t>
  </si>
  <si>
    <t>Phê duyệt yêu cầu làm thêm giờ</t>
  </si>
  <si>
    <t>Là nhân viên, tôi muốn phê duyệt yêu cầu làm thêm giờ để thực hiện quy trình làm thêm giờ đúng quy định.</t>
  </si>
  <si>
    <t>Chức năng “Phê duyệt yêu cầu làm thêm giờ” xử lý được dữ liệu hợp lệ; trường hợp sai dữ liệu hoặc sai quyền có thông báo rõ ràng; dữ liệu lưu nhất quán và có thể kiểm tra lại bằng mã nguồn, kiểm thử hoặc giao diện.</t>
  </si>
  <si>
    <t>US30</t>
  </si>
  <si>
    <t>JD-43</t>
  </si>
  <si>
    <t>Kiểm tra quy định làm thêm giờ</t>
  </si>
  <si>
    <t>Là nhân viên, tôi muốn kiểm tra quy định làm thêm giờ để thực hiện quy trình làm thêm giờ đúng quy định.</t>
  </si>
  <si>
    <t>Chức năng “Kiểm tra quy định làm thêm giờ” xử lý được dữ liệu hợp lệ; trường hợp sai dữ liệu hoặc sai quyền có thông báo rõ ràng; dữ liệu lưu nhất quán và có thể kiểm tra lại bằng mã nguồn, kiểm thử hoặc giao diện.</t>
  </si>
  <si>
    <t>US31</t>
  </si>
  <si>
    <t>JD-44</t>
  </si>
  <si>
    <t>EP10</t>
  </si>
  <si>
    <t>Nhận cảnh báo thời gian thực</t>
  </si>
  <si>
    <t>Là người dùng hệ thống, tôi muốn nhận cảnh báo thời gian thực để nhận đúng thông tin vào đúng thời điểm.</t>
  </si>
  <si>
    <t>Huỳnh Lê Thành Nhân (chính); Nguyễn Đức Mạnh (hỗ trợ kiểm thử)</t>
  </si>
  <si>
    <t>Chức năng “Nhận cảnh báo thời gian thực” xử lý được dữ liệu hợp lệ; trường hợp sai dữ liệu hoặc sai quyền có thông báo rõ ràng; dữ liệu lưu nhất quán và có thể kiểm tra lại bằng mã nguồn, kiểm thử hoặc giao diện.</t>
  </si>
  <si>
    <t>US32</t>
  </si>
  <si>
    <t>JD-45</t>
  </si>
  <si>
    <t>Cài đặt kênh nhận thông báo</t>
  </si>
  <si>
    <t>Là người dùng hệ thống, tôi muốn cài đặt kênh nhận thông báo để nhận đúng thông tin vào đúng thời điểm.</t>
  </si>
  <si>
    <t>Chức năng “Cài đặt kênh nhận thông báo” xử lý được dữ liệu hợp lệ; trường hợp sai dữ liệu hoặc sai quyền có thông báo rõ ràng; dữ liệu lưu nhất quán và có thể kiểm tra lại bằng mã nguồn, kiểm thử hoặc giao diện.</t>
  </si>
  <si>
    <t>US33</t>
  </si>
  <si>
    <t>JD-46</t>
  </si>
  <si>
    <t>Nhận email tổng hợp hằng ngày</t>
  </si>
  <si>
    <t>Là người dùng hệ thống, tôi muốn nhận email tổng hợp hằng ngày để nhận đúng thông tin vào đúng thời điểm.</t>
  </si>
  <si>
    <t>Chức năng “Nhận email tổng hợp hằng ngày” xử lý được dữ liệu hợp lệ; trường hợp sai dữ liệu hoặc sai quyền có thông báo rõ ràng; dữ liệu lưu nhất quán và có thể kiểm tra lại bằng mã nguồn, kiểm thử hoặc giao diện.</t>
  </si>
  <si>
    <t>US34</t>
  </si>
  <si>
    <t>JD-47</t>
  </si>
  <si>
    <t>Gửi lại thông báo thất bại</t>
  </si>
  <si>
    <t>Là người dùng hệ thống, tôi muốn gửi lại thông báo thất bại để nhận đúng thông tin vào đúng thời điểm.</t>
  </si>
  <si>
    <t>Chức năng “Gửi lại thông báo thất bại” xử lý được dữ liệu hợp lệ; trường hợp sai dữ liệu hoặc sai quyền có thông báo rõ ràng; dữ liệu lưu nhất quán và có thể kiểm tra lại bằng mã nguồn, kiểm thử hoặc giao diện.</t>
  </si>
  <si>
    <t>US35</t>
  </si>
  <si>
    <t>JD-48</t>
  </si>
  <si>
    <t>EP11</t>
  </si>
  <si>
    <t>Theo dõi bảng điều khiển hiệu suất</t>
  </si>
  <si>
    <t>Là người quản lý, tôi muốn theo dõi bảng điều khiển hiệu suất để có dữ liệu hỗ trợ quyết định.</t>
  </si>
  <si>
    <t>Chức năng “Theo dõi bảng điều khiển hiệu suất” xử lý được dữ liệu hợp lệ; trường hợp sai dữ liệu hoặc sai quyền có thông báo rõ ràng; dữ liệu lưu nhất quán và có thể kiểm tra lại bằng mã nguồn, kiểm thử hoặc giao diện.</t>
  </si>
  <si>
    <t>US36</t>
  </si>
  <si>
    <t>JD-49</t>
  </si>
  <si>
    <t>Theo dõi phân bổ nguồn lực phòng ban</t>
  </si>
  <si>
    <t>Là người quản lý, tôi muốn theo dõi phân bổ nguồn lực phòng ban để có dữ liệu hỗ trợ quyết định.</t>
  </si>
  <si>
    <t>Chức năng “Theo dõi phân bổ nguồn lực phòng ban” xử lý được dữ liệu hợp lệ; trường hợp sai dữ liệu hoặc sai quyền có thông báo rõ ràng; dữ liệu lưu nhất quán và có thể kiểm tra lại bằng mã nguồn, kiểm thử hoặc giao diện.</t>
  </si>
  <si>
    <t>US37</t>
  </si>
  <si>
    <t>JD-50</t>
  </si>
  <si>
    <t>Tạo báo cáo dự án tùy chỉnh</t>
  </si>
  <si>
    <t>Là người quản lý, tôi muốn tạo báo cáo dự án tùy chỉnh để có dữ liệu hỗ trợ quyết định.</t>
  </si>
  <si>
    <t>Chức năng “Tạo báo cáo dự án tùy chỉnh” xử lý được dữ liệu hợp lệ; trường hợp sai dữ liệu hoặc sai quyền có thông báo rõ ràng; dữ liệu lưu nhất quán và có thể kiểm tra lại bằng mã nguồn, kiểm thử hoặc giao diện.</t>
  </si>
  <si>
    <t>US38</t>
  </si>
  <si>
    <t>JD-51</t>
  </si>
  <si>
    <t>Dự báo tiến độ hoàn thành dự án</t>
  </si>
  <si>
    <t>Là người quản lý, tôi muốn dự báo tiến độ hoàn thành dự án để có dữ liệu hỗ trợ quyết định.</t>
  </si>
  <si>
    <t>Chức năng “Dự báo tiến độ hoàn thành dự án” xử lý được dữ liệu hợp lệ; trường hợp sai dữ liệu hoặc sai quyền có thông báo rõ ràng; dữ liệu lưu nhất quán và có thể kiểm tra lại bằng mã nguồn, kiểm thử hoặc giao diện.</t>
  </si>
  <si>
    <t>US39</t>
  </si>
  <si>
    <t>Đăng xuất an toàn</t>
  </si>
  <si>
    <t>Là người dùng hệ thống, tôi muốn đăng xuất an toàn để truy cập đúng quyền và bảo vệ phiên làm việc.</t>
  </si>
  <si>
    <t>Chức năng “Đăng xuất an toàn” xử lý được dữ liệu hợp lệ; trường hợp sai dữ liệu hoặc sai quyền có thông báo rõ ràng; dữ liệu lưu nhất quán và có thể kiểm tra lại bằng mã nguồn, kiểm thử hoặc giao diện.</t>
  </si>
  <si>
    <t>Git: auth/router và dịch vụ xác thực</t>
  </si>
  <si>
    <t>US40</t>
  </si>
  <si>
    <t>Xử lý phiên hết hạn</t>
  </si>
  <si>
    <t>Là người dùng hệ thống, tôi muốn xử lý phiên hết hạn để truy cập đúng quyền và bảo vệ phiên làm việc.</t>
  </si>
  <si>
    <t>Chức năng “Xử lý phiên hết hạn” xử lý được dữ liệu hợp lệ; trường hợp sai dữ liệu hoặc sai quyền có thông báo rõ ràng; dữ liệu lưu nhất quán và có thể kiểm tra lại bằng mã nguồn, kiểm thử hoặc giao diện.</t>
  </si>
  <si>
    <t>Git: tokenService và AuthProvider</t>
  </si>
  <si>
    <t>US41</t>
  </si>
  <si>
    <t>Quản lý phiên đăng nhập</t>
  </si>
  <si>
    <t>Là người dùng hệ thống, tôi muốn quản lý phiên đăng nhập để truy cập đúng quyền và bảo vệ phiên làm việc.</t>
  </si>
  <si>
    <t>Chức năng “Quản lý phiên đăng nhập” xử lý được dữ liệu hợp lệ; trường hợp sai dữ liệu hoặc sai quyền có thông báo rõ ràng; dữ liệu lưu nhất quán và có thể kiểm tra lại bằng mã nguồn, kiểm thử hoặc giao diện.</t>
  </si>
  <si>
    <t>Git: user_sessions và refresh_tokens</t>
  </si>
  <si>
    <t>US42</t>
  </si>
  <si>
    <t>Xem bảng điều khiển tổng quan</t>
  </si>
  <si>
    <t>Là người quản lý, tôi muốn xem bảng điều khiển tổng quan để có dữ liệu hỗ trợ quyết định.</t>
  </si>
  <si>
    <t>Chức năng “Xem bảng điều khiển tổng quan” xử lý được dữ liệu hợp lệ; trường hợp sai dữ liệu hoặc sai quyền có thông báo rõ ràng; dữ liệu lưu nhất quán và có thể kiểm tra lại bằng mã nguồn, kiểm thử hoặc giao diện.</t>
  </si>
  <si>
    <t>Git: DashboardPage và dashboard API</t>
  </si>
  <si>
    <t>US43</t>
  </si>
  <si>
    <t>Xem lịch công việc</t>
  </si>
  <si>
    <t>Là thành viên dự án, tôi muốn xem lịch công việc để theo dõi tiến độ công việc hiệu quả.</t>
  </si>
  <si>
    <t>Huỳnh Lê Thành Nhân (chính); Nguyễn Đức Mạnh (Calendar/hỗ trợ)</t>
  </si>
  <si>
    <t>Chức năng “Xem lịch công việc” xử lý được dữ liệu hợp lệ; trường hợp sai dữ liệu hoặc sai quyền có thông báo rõ ràng; dữ liệu lưu nhất quán và có thể kiểm tra lại bằng mã nguồn, kiểm thử hoặc giao diện.</t>
  </si>
  <si>
    <t>Git: CalendarPage</t>
  </si>
  <si>
    <t>US44</t>
  </si>
  <si>
    <t>Đồng bộ lịch khi công việc thay đổi</t>
  </si>
  <si>
    <t>Là thành viên dự án, tôi muốn đồng bộ lịch khi công việc thay đổi để theo dõi tiến độ công việc hiệu quả.</t>
  </si>
  <si>
    <t>Chức năng “Đồng bộ lịch khi công việc thay đổi” xử lý được dữ liệu hợp lệ; trường hợp sai dữ liệu hoặc sai quyền có thông báo rõ ràng; dữ liệu lưu nhất quán và có thể kiểm tra lại bằng mã nguồn, kiểm thử hoặc giao diện.</t>
  </si>
  <si>
    <t>Git: domain-event và CalendarPage</t>
  </si>
  <si>
    <t>US45</t>
  </si>
  <si>
    <t>Xem trung tâm thông báo</t>
  </si>
  <si>
    <t>Là người dùng hệ thống, tôi muốn xem trung tâm thông báo để nhận đúng thông tin vào đúng thời điểm.</t>
  </si>
  <si>
    <t>Chức năng “Xem trung tâm thông báo” xử lý được dữ liệu hợp lệ; trường hợp sai dữ liệu hoặc sai quyền có thông báo rõ ràng; dữ liệu lưu nhất quán và có thể kiểm tra lại bằng mã nguồn, kiểm thử hoặc giao diện.</t>
  </si>
  <si>
    <t>Git: NotificationsPage và notification API</t>
  </si>
  <si>
    <t>US46</t>
  </si>
  <si>
    <t>Đánh dấu thông báo đã đọc</t>
  </si>
  <si>
    <t>Là người dùng hệ thống, tôi muốn đánh dấu thông báo đã đọc để nhận đúng thông tin vào đúng thời điểm.</t>
  </si>
  <si>
    <t>Chức năng “Đánh dấu thông báo đã đọc” xử lý được dữ liệu hợp lệ; trường hợp sai dữ liệu hoặc sai quyền có thông báo rõ ràng; dữ liệu lưu nhất quán và có thể kiểm tra lại bằng mã nguồn, kiểm thử hoặc giao diện.</t>
  </si>
  <si>
    <t>Git: notification service</t>
  </si>
  <si>
    <t>US47</t>
  </si>
  <si>
    <t>EP12</t>
  </si>
  <si>
    <t>Kiểm tra tình trạng hệ thống</t>
  </si>
  <si>
    <t>Là người vận hành hệ thống, tôi muốn kiểm tra tình trạng hệ thống để duy trì hệ thống ổn định và có thể kiểm tra.</t>
  </si>
  <si>
    <t>Chức năng “Kiểm tra tình trạng hệ thống” xử lý được dữ liệu hợp lệ; trường hợp sai dữ liệu hoặc sai quyền có thông báo rõ ràng; dữ liệu lưu nhất quán và có thể kiểm tra lại bằng mã nguồn, kiểm thử hoặc giao diện.</t>
  </si>
  <si>
    <t>Git 09-12/07: health checks</t>
  </si>
  <si>
    <t>US48</t>
  </si>
  <si>
    <t>Ghi nhật ký có cấu trúc</t>
  </si>
  <si>
    <t>Là người vận hành hệ thống, tôi muốn ghi nhật ký có cấu trúc để duy trì hệ thống ổn định và có thể kiểm tra.</t>
  </si>
  <si>
    <t>Chức năng “Ghi nhật ký có cấu trúc” xử lý được dữ liệu hợp lệ; trường hợp sai dữ liệu hoặc sai quyền có thông báo rõ ràng; dữ liệu lưu nhất quán và có thể kiểm tra lại bằng mã nguồn, kiểm thử hoặc giao diện.</t>
  </si>
  <si>
    <t>Git 09-12/07: logging</t>
  </si>
  <si>
    <t>US49</t>
  </si>
  <si>
    <t>Sử dụng bộ nhớ đệm Redis</t>
  </si>
  <si>
    <t>Là người vận hành hệ thống, tôi muốn sử dụng bộ nhớ đệm redis để duy trì hệ thống ổn định và có thể kiểm tra.</t>
  </si>
  <si>
    <t>Hoàn thành phần nền tảng</t>
  </si>
  <si>
    <t>Chức năng “Sử dụng bộ nhớ đệm Redis” xử lý được dữ liệu hợp lệ; trường hợp sai dữ liệu hoặc sai quyền có thông báo rõ ràng; dữ liệu lưu nhất quán và có thể kiểm tra lại bằng mã nguồn, kiểm thử hoặc giao diện.</t>
  </si>
  <si>
    <t>Git 11/07: cache manager</t>
  </si>
  <si>
    <t>US50</t>
  </si>
  <si>
    <t>Triển khai bằng Docker và kiểm tra CI</t>
  </si>
  <si>
    <t>Là người vận hành hệ thống, tôi muốn triển khai bằng docker và kiểm tra ci để duy trì hệ thống ổn định và có thể kiểm tra.</t>
  </si>
  <si>
    <t>Chức năng “Triển khai bằng Docker và kiểm tra CI” xử lý được dữ liệu hợp lệ; trường hợp sai dữ liệu hoặc sai quyền có thông báo rõ ràng; dữ liệu lưu nhất quán và có thể kiểm tra lại bằng mã nguồn, kiểm thử hoặc giao diện.</t>
  </si>
  <si>
    <t>Git 16-23/07: Docker/CI</t>
  </si>
  <si>
    <t>SPRINT 1
30 User Story</t>
  </si>
  <si>
    <t>SPRINT 2
20 User Story</t>
  </si>
  <si>
    <t>DANH SÁCH EPIC
Nhóm phạm vi chức năng của TaskSyncEnterprise</t>
  </si>
  <si>
    <t>Mã Epic</t>
  </si>
  <si>
    <t>Tên Epic</t>
  </si>
  <si>
    <t>Số Story</t>
  </si>
  <si>
    <t>Xác thực và kiểm soát truy cập</t>
  </si>
  <si>
    <t>Quản lý hồ sơ nhân viên</t>
  </si>
  <si>
    <t>Quản lý cơ cấu phòng ban</t>
  </si>
  <si>
    <t>Quản lý dự án và phân bổ nhóm</t>
  </si>
  <si>
    <t>Vòng đời công việc và bảng Kanban</t>
  </si>
  <si>
    <t>Cộng tác nhóm</t>
  </si>
  <si>
    <t>Quản lý tài liệu và tệp</t>
  </si>
  <si>
    <t>Quản lý nghỉ phép</t>
  </si>
  <si>
    <t>Quản lý làm thêm giờ</t>
  </si>
  <si>
    <t>Thông báo đa kênh</t>
  </si>
  <si>
    <t>Phân tích hiệu suất và báo cáo</t>
  </si>
  <si>
    <t>Vận hành, kiểm toán và an toàn hệ thống</t>
  </si>
  <si>
    <t>Bổ sung từ mã nguồn/Git để phản ánh công việc vận hành thực tế</t>
  </si>
  <si>
    <t>DANH MỤC DÙNG CHUNG</t>
  </si>
  <si>
    <t>Trạng thái xác minh</t>
  </si>
  <si>
    <t>Mức đóng góp</t>
  </si>
  <si>
    <t>Đóng góp chính</t>
  </si>
  <si>
    <t>Git</t>
  </si>
  <si>
    <t>Có đóng góp và hỗ trợ</t>
  </si>
  <si>
    <t>Mã nguồn</t>
  </si>
  <si>
    <t>Hỗ trợ kiểm thử</t>
  </si>
  <si>
    <t>Giao diện</t>
  </si>
  <si>
    <t>Chưa có sản phẩm xác minh</t>
  </si>
  <si>
    <t>Biên bản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</si>
</sst>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font>
      <sz val="11"/>
      <name val="Carlito"/>
    </font>
    <font>
      <b/>
      <sz val="17"/>
      <color rgb="FFFFFFFF"/>
      <name val="Carlito"/>
    </font>
    <font>
      <b/>
      <sz val="10"/>
      <color rgb="FF1F2937"/>
      <name val="Carlito"/>
    </font>
    <font>
      <sz val="9"/>
      <color rgb="FF1F2937"/>
      <name val="Carlito"/>
    </font>
    <font>
      <b/>
      <sz val="9"/>
      <color rgb="FF1F2937"/>
      <name val="Carlito"/>
    </font>
    <font>
      <b/>
      <sz val="11"/>
      <color rgb="FFFFFFFF"/>
      <name val="Carlito"/>
    </font>
    <font>
      <b/>
      <sz val="13"/>
      <color rgb="FF17365D"/>
      <name val="Carlito"/>
    </font>
    <font>
      <sz val="11"/>
      <color rgb="FF1F2937"/>
      <name val="Carlito"/>
    </font>
  </fonts>
  <fills count="11">
    <fill>
      <patternFill patternType="none"/>
    </fill>
    <fill>
      <patternFill patternType="gray125"/>
    </fill>
    <fill>
      <patternFill patternType="solid">
        <fgColor rgb="FF17365D"/>
      </patternFill>
    </fill>
    <fill>
      <patternFill patternType="solid">
        <fgColor rgb="FFDDEBF7"/>
      </patternFill>
    </fill>
    <fill>
      <patternFill patternType="solid">
        <fgColor rgb="FFC6EFCE"/>
      </patternFill>
    </fill>
    <fill>
      <patternFill patternType="solid">
        <fgColor rgb="FFFFF2CC"/>
      </patternFill>
    </fill>
    <fill>
      <patternFill patternType="solid">
        <fgColor rgb="FFFCE4D6"/>
      </patternFill>
    </fill>
    <fill>
      <patternFill patternType="solid">
        <fgColor rgb="FFFFC7CE"/>
      </patternFill>
    </fill>
    <fill>
      <patternFill patternType="solid">
        <fgColor rgb="FFE7E6E6"/>
      </patternFill>
    </fill>
    <fill>
      <patternFill patternType="solid">
        <fgColor rgb="FF2E75B6"/>
      </patternFill>
    </fill>
    <fill>
      <patternFill patternType="solid">
        <fgColor rgb="FFF7F9FC"/>
      </patternFill>
    </fill>
  </fills>
  <borders count="4">
    <border>
      <left/>
      <right/>
      <top/>
      <bottom/>
      <diagonal/>
    </border>
    <border>
      <left style="thin">
        <color rgb="FFA6A6A6"/>
      </left>
      <right style="thin">
        <color rgb="FFA6A6A6"/>
      </right>
      <top style="thin">
        <color rgb="FFA6A6A6"/>
      </top>
      <bottom style="thin">
        <color rgb="FFA6A6A6"/>
      </bottom>
      <diagonal/>
    </border>
    <border>
      <left/>
      <right/>
      <top/>
      <bottom style="thin">
        <color rgb="FFD9E2F3"/>
      </bottom>
      <diagonal/>
    </border>
    <border>
      <left/>
      <right/>
      <top style="thin">
        <color rgb="FFD9E2F3"/>
      </top>
      <bottom style="thin">
        <color rgb="FFD9E2F3"/>
      </bottom>
      <diagonal/>
    </border>
  </borders>
  <cellStyleXfs count="1">
    <xf numFmtId="0" fontId="0" fillId="0" borderId="0"/>
  </cellStyleXfs>
  <cellXfs count="20">
    <xf numFmtId="0" fontId="0" fillId="0" borderId="0" xfId="0"/>
    <xf numFmtId="0" fontId="2" fillId="3"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4" fillId="4" borderId="2" xfId="0" applyFont="1" applyFill="1" applyBorder="1" applyAlignment="1">
      <alignment vertical="center" wrapText="1"/>
    </xf>
    <xf numFmtId="0" fontId="4" fillId="3" borderId="3" xfId="0" applyFont="1" applyFill="1" applyBorder="1" applyAlignment="1">
      <alignment vertical="center" wrapText="1"/>
    </xf>
    <xf numFmtId="0" fontId="4" fillId="5" borderId="3" xfId="0" applyFont="1" applyFill="1" applyBorder="1" applyAlignment="1">
      <alignment vertical="center" wrapText="1"/>
    </xf>
    <xf numFmtId="0" fontId="4" fillId="6" borderId="3" xfId="0" applyFont="1" applyFill="1" applyBorder="1" applyAlignment="1">
      <alignment vertical="center" wrapText="1"/>
    </xf>
    <xf numFmtId="0" fontId="4" fillId="7" borderId="3" xfId="0" applyFont="1" applyFill="1" applyBorder="1" applyAlignment="1">
      <alignment vertical="center" wrapText="1"/>
    </xf>
    <xf numFmtId="0" fontId="4" fillId="8" borderId="3" xfId="0" applyFont="1" applyFill="1" applyBorder="1" applyAlignment="1">
      <alignment vertical="center" wrapText="1"/>
    </xf>
    <xf numFmtId="0" fontId="5" fillId="9" borderId="0" xfId="0" applyFont="1" applyFill="1" applyAlignment="1">
      <alignment vertical="center"/>
    </xf>
    <xf numFmtId="164" fontId="3" fillId="0" borderId="2" xfId="0" applyNumberFormat="1" applyFont="1" applyBorder="1" applyAlignment="1">
      <alignment vertical="center" wrapText="1"/>
    </xf>
    <xf numFmtId="164" fontId="3" fillId="0" borderId="3" xfId="0" applyNumberFormat="1" applyFont="1" applyBorder="1" applyAlignment="1">
      <alignment vertical="center" wrapText="1"/>
    </xf>
    <xf numFmtId="0" fontId="6" fillId="10" borderId="2" xfId="0" applyFont="1" applyFill="1" applyBorder="1" applyAlignment="1">
      <alignment horizontal="center" vertical="center" wrapText="1"/>
    </xf>
    <xf numFmtId="0" fontId="6" fillId="10" borderId="3" xfId="0" applyFont="1" applyFill="1" applyBorder="1" applyAlignment="1">
      <alignment horizontal="center" vertical="center" wrapText="1"/>
    </xf>
    <xf numFmtId="1" fontId="3" fillId="0" borderId="2" xfId="0" applyNumberFormat="1" applyFont="1" applyBorder="1" applyAlignment="1">
      <alignment vertical="center" wrapText="1"/>
    </xf>
    <xf numFmtId="1" fontId="3" fillId="0" borderId="3" xfId="0" applyNumberFormat="1" applyFont="1" applyBorder="1" applyAlignment="1">
      <alignment vertical="center" wrapText="1"/>
    </xf>
    <xf numFmtId="0" fontId="1" fillId="2" borderId="0" xfId="0" applyFont="1" applyFill="1" applyAlignment="1">
      <alignment horizontal="left" vertical="center" wrapText="1"/>
    </xf>
    <xf numFmtId="0" fontId="5" fillId="9" borderId="0" xfId="0" applyFont="1" applyFill="1" applyAlignment="1">
      <alignment vertical="center"/>
    </xf>
    <xf numFmtId="0" fontId="7" fillId="5" borderId="0" xfId="0" applyFont="1" applyFill="1" applyAlignment="1">
      <alignment vertical="center" wrapText="1"/>
    </xf>
  </cellXfs>
  <cellStyles count="1">
    <cellStyle name="Normal" xfId="0" builtinId="0"/>
  </cellStyles>
  <dxfs count="24">
    <dxf>
      <font>
        <b/>
        <color rgb="FF9C0006"/>
      </font>
      <fill>
        <patternFill patternType="solid">
          <bgColor rgb="FFFFC7CE"/>
        </patternFill>
      </fill>
    </dxf>
    <dxf>
      <font>
        <b/>
        <color rgb="FF595959"/>
      </font>
      <fill>
        <patternFill patternType="solid">
          <bgColor rgb="FFE7E6E6"/>
        </patternFill>
      </fill>
    </dxf>
    <dxf>
      <font>
        <b/>
        <color rgb="FF9C5700"/>
      </font>
      <fill>
        <patternFill patternType="solid">
          <bgColor rgb="FFFCE4D6"/>
        </patternFill>
      </fill>
    </dxf>
    <dxf>
      <font>
        <b/>
        <color rgb="FF7F6000"/>
      </font>
      <fill>
        <patternFill patternType="solid">
          <bgColor rgb="FFFFF2CC"/>
        </patternFill>
      </fill>
    </dxf>
    <dxf>
      <font>
        <b/>
        <color rgb="FF1F2937"/>
      </font>
      <fill>
        <patternFill patternType="solid">
          <bgColor rgb="FFDDEBF7"/>
        </patternFill>
      </fill>
    </dxf>
    <dxf>
      <font>
        <b/>
        <color rgb="FF006100"/>
      </font>
      <fill>
        <patternFill patternType="solid">
          <bgColor rgb="FFC6EFCE"/>
        </patternFill>
      </fill>
    </dxf>
    <dxf>
      <font>
        <b/>
        <color rgb="FF9C0006"/>
      </font>
      <fill>
        <patternFill patternType="solid">
          <bgColor rgb="FFFFC7CE"/>
        </patternFill>
      </fill>
    </dxf>
    <dxf>
      <font>
        <b/>
        <color rgb="FF595959"/>
      </font>
      <fill>
        <patternFill patternType="solid">
          <bgColor rgb="FFE7E6E6"/>
        </patternFill>
      </fill>
    </dxf>
    <dxf>
      <font>
        <b/>
        <color rgb="FF9C5700"/>
      </font>
      <fill>
        <patternFill patternType="solid">
          <bgColor rgb="FFFCE4D6"/>
        </patternFill>
      </fill>
    </dxf>
    <dxf>
      <font>
        <b/>
        <color rgb="FF7F6000"/>
      </font>
      <fill>
        <patternFill patternType="solid">
          <bgColor rgb="FFFFF2CC"/>
        </patternFill>
      </fill>
    </dxf>
    <dxf>
      <font>
        <b/>
        <color rgb="FF1F2937"/>
      </font>
      <fill>
        <patternFill patternType="solid">
          <bgColor rgb="FFDDEBF7"/>
        </patternFill>
      </fill>
    </dxf>
    <dxf>
      <font>
        <b/>
        <color rgb="FF006100"/>
      </font>
      <fill>
        <patternFill patternType="solid">
          <bgColor rgb="FFC6EFCE"/>
        </patternFill>
      </fill>
    </dxf>
    <dxf>
      <font>
        <b/>
        <color rgb="FF9C0006"/>
      </font>
      <fill>
        <patternFill patternType="solid">
          <bgColor rgb="FFFFC7CE"/>
        </patternFill>
      </fill>
    </dxf>
    <dxf>
      <font>
        <b/>
        <color rgb="FF595959"/>
      </font>
      <fill>
        <patternFill patternType="solid">
          <bgColor rgb="FFE7E6E6"/>
        </patternFill>
      </fill>
    </dxf>
    <dxf>
      <font>
        <b/>
        <color rgb="FF9C5700"/>
      </font>
      <fill>
        <patternFill patternType="solid">
          <bgColor rgb="FFFCE4D6"/>
        </patternFill>
      </fill>
    </dxf>
    <dxf>
      <font>
        <b/>
        <color rgb="FF7F6000"/>
      </font>
      <fill>
        <patternFill patternType="solid">
          <bgColor rgb="FFFFF2CC"/>
        </patternFill>
      </fill>
    </dxf>
    <dxf>
      <font>
        <b/>
        <color rgb="FF1F2937"/>
      </font>
      <fill>
        <patternFill patternType="solid">
          <bgColor rgb="FFDDEBF7"/>
        </patternFill>
      </fill>
    </dxf>
    <dxf>
      <font>
        <b/>
        <color rgb="FF006100"/>
      </font>
      <fill>
        <patternFill patternType="solid">
          <bgColor rgb="FFC6EFCE"/>
        </patternFill>
      </fill>
    </dxf>
    <dxf>
      <font>
        <b/>
        <color rgb="FF9C0006"/>
      </font>
      <fill>
        <patternFill patternType="solid">
          <bgColor rgb="FFFFC7CE"/>
        </patternFill>
      </fill>
    </dxf>
    <dxf>
      <font>
        <b/>
        <color rgb="FF595959"/>
      </font>
      <fill>
        <patternFill patternType="solid">
          <bgColor rgb="FFE7E6E6"/>
        </patternFill>
      </fill>
    </dxf>
    <dxf>
      <font>
        <b/>
        <color rgb="FF9C5700"/>
      </font>
      <fill>
        <patternFill patternType="solid">
          <bgColor rgb="FFFCE4D6"/>
        </patternFill>
      </fill>
    </dxf>
    <dxf>
      <font>
        <b/>
        <color rgb="FF7F6000"/>
      </font>
      <fill>
        <patternFill patternType="solid">
          <bgColor rgb="FFFFF2CC"/>
        </patternFill>
      </fill>
    </dxf>
    <dxf>
      <font>
        <b/>
        <color rgb="FF1F2937"/>
      </font>
      <fill>
        <patternFill patternType="solid">
          <bgColor rgb="FFDDEBF7"/>
        </patternFill>
      </fill>
    </dxf>
    <dxf>
      <font>
        <b/>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vi-VN"/>
              <a:t>Phân bố trạng thái Jira</a:t>
            </a:r>
          </a:p>
        </c:rich>
      </c:tx>
      <c:overlay val="1"/>
    </c:title>
    <c:autoTitleDeleted val="0"/>
    <c:plotArea>
      <c:layout/>
      <c:barChart>
        <c:barDir val="col"/>
        <c:grouping val="clustered"/>
        <c:varyColors val="0"/>
        <c:ser>
          <c:idx val="0"/>
          <c:order val="0"/>
          <c:tx>
            <c:v>Số lượng</c:v>
          </c:tx>
          <c:invertIfNegative val="1"/>
          <c:cat>
            <c:strRef>
              <c:f>'Tổng quan'!$D$6:$D$9</c:f>
              <c:strCache>
                <c:ptCount val="4"/>
                <c:pt idx="0">
                  <c:v>Hoàn thành</c:v>
                </c:pt>
                <c:pt idx="1">
                  <c:v>Đang thực hiện</c:v>
                </c:pt>
                <c:pt idx="2">
                  <c:v>Cần làm</c:v>
                </c:pt>
                <c:pt idx="3">
                  <c:v>Chưa tạo riêng trên Jira</c:v>
                </c:pt>
              </c:strCache>
            </c:strRef>
          </c:cat>
          <c:val>
            <c:numRef>
              <c:f>'Tổng quan'!$E$6:$E$9</c:f>
              <c:numCache>
                <c:formatCode>General</c:formatCode>
                <c:ptCount val="4"/>
                <c:pt idx="0">
                  <c:v>14</c:v>
                </c:pt>
                <c:pt idx="1">
                  <c:v>3</c:v>
                </c:pt>
                <c:pt idx="2">
                  <c:v>21</c:v>
                </c:pt>
                <c:pt idx="3">
                  <c:v>12</c:v>
                </c:pt>
              </c:numCache>
            </c:numRef>
          </c:val>
          <c:extLst>
            <c:ext xmlns:c16="http://schemas.microsoft.com/office/drawing/2014/chart" uri="{C3380CC4-5D6E-409C-BE32-E72D297353CC}">
              <c16:uniqueId val="{00000000-3664-4540-A319-90D63C155D1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3</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BacklogTable" displayName="ProductBacklogTable" ref="A4:P54" totalsRowShown="0">
  <tableColumns count="16">
    <tableColumn id="1" xr3:uid="{00000000-0010-0000-0000-000001000000}" name="Mã"/>
    <tableColumn id="2" xr3:uid="{00000000-0010-0000-0000-000002000000}" name="Jira"/>
    <tableColumn id="3" xr3:uid="{00000000-0010-0000-0000-000003000000}" name="Epic"/>
    <tableColumn id="4" xr3:uid="{00000000-0010-0000-0000-000004000000}" name="Tên User Story"/>
    <tableColumn id="5" xr3:uid="{00000000-0010-0000-0000-000005000000}" name="Câu chuyện người dùng"/>
    <tableColumn id="6" xr3:uid="{00000000-0010-0000-0000-000006000000}" name="Ưu tiên"/>
    <tableColumn id="7" xr3:uid="{00000000-0010-0000-0000-000007000000}" name="Điểm"/>
    <tableColumn id="8" xr3:uid="{00000000-0010-0000-0000-000008000000}" name="Sprint"/>
    <tableColumn id="9" xr3:uid="{00000000-0010-0000-0000-000009000000}" name="Trạng thái Jira"/>
    <tableColumn id="10" xr3:uid="{00000000-0010-0000-0000-00000A000000}" name="Trạng thái đã xác minh"/>
    <tableColumn id="11" xr3:uid="{00000000-0010-0000-0000-00000B000000}" name="Người được giao trên Jira"/>
    <tableColumn id="12" xr3:uid="{00000000-0010-0000-0000-00000C000000}" name="Người thực hiện/xác minh"/>
    <tableColumn id="13" xr3:uid="{00000000-0010-0000-0000-00000D000000}" name="Tiêu chí chấp nhận"/>
    <tableColumn id="14" xr3:uid="{00000000-0010-0000-0000-00000E000000}" name="Nguồn"/>
    <tableColumn id="15" xr3:uid="{00000000-0010-0000-0000-00000F000000}" name="Ngày kết thúc Sprint"/>
    <tableColumn id="16" xr3:uid="{00000000-0010-0000-0000-000010000000}" name="Ghi chú"/>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print1Table" displayName="Sprint1Table" ref="A4:P34" totalsRowShown="0">
  <tableColumns count="16">
    <tableColumn id="1" xr3:uid="{00000000-0010-0000-0100-000001000000}" name="Mã"/>
    <tableColumn id="2" xr3:uid="{00000000-0010-0000-0100-000002000000}" name="Jira"/>
    <tableColumn id="3" xr3:uid="{00000000-0010-0000-0100-000003000000}" name="Epic"/>
    <tableColumn id="4" xr3:uid="{00000000-0010-0000-0100-000004000000}" name="Tên User Story"/>
    <tableColumn id="5" xr3:uid="{00000000-0010-0000-0100-000005000000}" name="Câu chuyện người dùng"/>
    <tableColumn id="6" xr3:uid="{00000000-0010-0000-0100-000006000000}" name="Ưu tiên"/>
    <tableColumn id="7" xr3:uid="{00000000-0010-0000-0100-000007000000}" name="Điểm"/>
    <tableColumn id="8" xr3:uid="{00000000-0010-0000-0100-000008000000}" name="Sprint"/>
    <tableColumn id="9" xr3:uid="{00000000-0010-0000-0100-000009000000}" name="Trạng thái Jira"/>
    <tableColumn id="10" xr3:uid="{00000000-0010-0000-0100-00000A000000}" name="Trạng thái đã xác minh"/>
    <tableColumn id="11" xr3:uid="{00000000-0010-0000-0100-00000B000000}" name="Người được giao trên Jira"/>
    <tableColumn id="12" xr3:uid="{00000000-0010-0000-0100-00000C000000}" name="Người thực hiện/xác minh"/>
    <tableColumn id="13" xr3:uid="{00000000-0010-0000-0100-00000D000000}" name="Tiêu chí chấp nhận"/>
    <tableColumn id="14" xr3:uid="{00000000-0010-0000-0100-00000E000000}" name="Nguồn"/>
    <tableColumn id="15" xr3:uid="{00000000-0010-0000-0100-00000F000000}" name="Ngày kết thúc Sprint"/>
    <tableColumn id="16" xr3:uid="{00000000-0010-0000-0100-000010000000}" name="Ghi chú"/>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print2Table" displayName="Sprint2Table" ref="A4:P24" totalsRowShown="0">
  <tableColumns count="16">
    <tableColumn id="1" xr3:uid="{00000000-0010-0000-0200-000001000000}" name="Mã"/>
    <tableColumn id="2" xr3:uid="{00000000-0010-0000-0200-000002000000}" name="Jira"/>
    <tableColumn id="3" xr3:uid="{00000000-0010-0000-0200-000003000000}" name="Epic"/>
    <tableColumn id="4" xr3:uid="{00000000-0010-0000-0200-000004000000}" name="Tên User Story"/>
    <tableColumn id="5" xr3:uid="{00000000-0010-0000-0200-000005000000}" name="Câu chuyện người dùng"/>
    <tableColumn id="6" xr3:uid="{00000000-0010-0000-0200-000006000000}" name="Ưu tiên"/>
    <tableColumn id="7" xr3:uid="{00000000-0010-0000-0200-000007000000}" name="Điểm"/>
    <tableColumn id="8" xr3:uid="{00000000-0010-0000-0200-000008000000}" name="Sprint"/>
    <tableColumn id="9" xr3:uid="{00000000-0010-0000-0200-000009000000}" name="Trạng thái Jira"/>
    <tableColumn id="10" xr3:uid="{00000000-0010-0000-0200-00000A000000}" name="Trạng thái đã xác minh"/>
    <tableColumn id="11" xr3:uid="{00000000-0010-0000-0200-00000B000000}" name="Người được giao trên Jira"/>
    <tableColumn id="12" xr3:uid="{00000000-0010-0000-0200-00000C000000}" name="Người thực hiện/xác minh"/>
    <tableColumn id="13" xr3:uid="{00000000-0010-0000-0200-00000D000000}" name="Tiêu chí chấp nhận"/>
    <tableColumn id="14" xr3:uid="{00000000-0010-0000-0200-00000E000000}" name="Nguồn"/>
    <tableColumn id="15" xr3:uid="{00000000-0010-0000-0200-00000F000000}" name="Ngày kết thúc Sprint"/>
    <tableColumn id="16" xr3:uid="{00000000-0010-0000-0200-000010000000}" name="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workbookViewId="0">
      <selection sqref="A1:G2"/>
    </sheetView>
  </sheetViews>
  <sheetFormatPr defaultRowHeight="13.8"/>
  <cols>
    <col min="1" max="1" width="16" customWidth="1"/>
    <col min="2" max="2" width="28" customWidth="1"/>
    <col min="3" max="4" width="15" customWidth="1"/>
    <col min="5" max="5" width="17" customWidth="1"/>
    <col min="6" max="6" width="28" customWidth="1"/>
    <col min="7" max="7" width="36" customWidth="1"/>
  </cols>
  <sheetData>
    <row r="1" spans="1:7" ht="43.2" customHeight="1">
      <c r="A1" s="17" t="s">
        <v>0</v>
      </c>
      <c r="B1" s="17"/>
      <c r="C1" s="17"/>
      <c r="D1" s="17"/>
      <c r="E1" s="17"/>
      <c r="F1" s="17"/>
      <c r="G1" s="17"/>
    </row>
    <row r="2" spans="1:7" ht="43.2" customHeight="1">
      <c r="A2" s="17"/>
      <c r="B2" s="17"/>
      <c r="C2" s="17"/>
      <c r="D2" s="17"/>
      <c r="E2" s="17"/>
      <c r="F2" s="17"/>
      <c r="G2" s="17"/>
    </row>
    <row r="4" spans="1:7" ht="25.65" customHeight="1">
      <c r="A4" s="1" t="s">
        <v>1</v>
      </c>
      <c r="B4" s="1" t="s">
        <v>2</v>
      </c>
      <c r="C4" s="1" t="s">
        <v>3</v>
      </c>
      <c r="D4" s="1" t="s">
        <v>4</v>
      </c>
      <c r="E4" s="1" t="s">
        <v>5</v>
      </c>
      <c r="F4" s="1" t="s">
        <v>6</v>
      </c>
      <c r="G4" s="1" t="s">
        <v>7</v>
      </c>
    </row>
    <row r="5" spans="1:7" ht="22.8">
      <c r="A5" s="4" t="s">
        <v>8</v>
      </c>
      <c r="B5" s="2" t="s">
        <v>9</v>
      </c>
      <c r="C5" s="2" t="s">
        <v>10</v>
      </c>
      <c r="D5" s="2" t="s">
        <v>11</v>
      </c>
      <c r="E5" s="2" t="s">
        <v>12</v>
      </c>
      <c r="F5" s="2" t="s">
        <v>13</v>
      </c>
      <c r="G5" s="2" t="s">
        <v>14</v>
      </c>
    </row>
    <row r="6" spans="1:7" ht="22.8">
      <c r="A6" s="5" t="s">
        <v>15</v>
      </c>
      <c r="B6" s="3" t="s">
        <v>16</v>
      </c>
      <c r="C6" s="3" t="s">
        <v>17</v>
      </c>
      <c r="D6" s="3" t="s">
        <v>18</v>
      </c>
      <c r="E6" s="3" t="s">
        <v>19</v>
      </c>
      <c r="F6" s="3" t="s">
        <v>20</v>
      </c>
      <c r="G6" s="3" t="s">
        <v>21</v>
      </c>
    </row>
    <row r="7" spans="1:7" ht="22.8">
      <c r="A7" s="6" t="s">
        <v>22</v>
      </c>
      <c r="B7" s="3" t="s">
        <v>23</v>
      </c>
      <c r="C7" s="3" t="s">
        <v>24</v>
      </c>
      <c r="D7" s="3" t="s">
        <v>25</v>
      </c>
      <c r="E7" s="3" t="s">
        <v>26</v>
      </c>
      <c r="F7" s="3" t="s">
        <v>20</v>
      </c>
      <c r="G7" s="3" t="s">
        <v>27</v>
      </c>
    </row>
    <row r="8" spans="1:7" ht="34.200000000000003">
      <c r="A8" s="7" t="s">
        <v>28</v>
      </c>
      <c r="B8" s="3" t="s">
        <v>29</v>
      </c>
      <c r="C8" s="3" t="s">
        <v>30</v>
      </c>
      <c r="D8" s="3" t="s">
        <v>31</v>
      </c>
      <c r="E8" s="3" t="s">
        <v>32</v>
      </c>
      <c r="F8" s="3" t="s">
        <v>33</v>
      </c>
      <c r="G8" s="3" t="s">
        <v>34</v>
      </c>
    </row>
    <row r="9" spans="1:7" ht="34.200000000000003">
      <c r="A9" s="8" t="s">
        <v>35</v>
      </c>
      <c r="B9" s="3" t="s">
        <v>36</v>
      </c>
      <c r="C9" s="3" t="s">
        <v>37</v>
      </c>
      <c r="D9" s="3" t="s">
        <v>38</v>
      </c>
      <c r="E9" s="3" t="s">
        <v>32</v>
      </c>
      <c r="F9" s="3" t="s">
        <v>39</v>
      </c>
      <c r="G9" s="3" t="s">
        <v>40</v>
      </c>
    </row>
    <row r="10" spans="1:7" ht="22.8">
      <c r="A10" s="9" t="s">
        <v>41</v>
      </c>
      <c r="B10" s="3" t="s">
        <v>42</v>
      </c>
      <c r="C10" s="3" t="s">
        <v>43</v>
      </c>
      <c r="D10" s="3" t="s">
        <v>44</v>
      </c>
      <c r="E10" s="3" t="s">
        <v>32</v>
      </c>
      <c r="F10" s="3" t="s">
        <v>45</v>
      </c>
      <c r="G10" s="3" t="s">
        <v>46</v>
      </c>
    </row>
    <row r="13" spans="1:7" ht="20.85" customHeight="1">
      <c r="A13" s="18" t="s">
        <v>47</v>
      </c>
      <c r="B13" s="18"/>
      <c r="C13" s="18"/>
      <c r="D13" s="18"/>
      <c r="E13" s="18"/>
      <c r="F13" s="18"/>
      <c r="G13" s="18"/>
    </row>
    <row r="14" spans="1:7" ht="25.65" customHeight="1">
      <c r="A14" s="1" t="s">
        <v>48</v>
      </c>
      <c r="B14" s="1" t="s">
        <v>49</v>
      </c>
      <c r="C14" s="1" t="s">
        <v>50</v>
      </c>
      <c r="D14" s="1" t="s">
        <v>51</v>
      </c>
      <c r="E14" s="1" t="s">
        <v>52</v>
      </c>
      <c r="F14" s="1" t="s">
        <v>53</v>
      </c>
      <c r="G14" s="1" t="s">
        <v>54</v>
      </c>
    </row>
    <row r="15" spans="1:7">
      <c r="A15" s="2" t="s">
        <v>55</v>
      </c>
      <c r="B15" s="2" t="s">
        <v>56</v>
      </c>
      <c r="C15" s="11">
        <v>46205</v>
      </c>
      <c r="D15" s="11">
        <v>46226</v>
      </c>
      <c r="E15" s="2" t="s">
        <v>57</v>
      </c>
      <c r="F15" s="2" t="s">
        <v>58</v>
      </c>
      <c r="G15" s="2" t="s">
        <v>59</v>
      </c>
    </row>
    <row r="16" spans="1:7">
      <c r="A16" s="3" t="s">
        <v>60</v>
      </c>
      <c r="B16" s="3" t="s">
        <v>61</v>
      </c>
      <c r="C16" s="12">
        <v>46227</v>
      </c>
      <c r="D16" s="12">
        <v>46254</v>
      </c>
      <c r="E16" s="3" t="s">
        <v>62</v>
      </c>
      <c r="F16" s="3" t="s">
        <v>63</v>
      </c>
      <c r="G16" s="3" t="s">
        <v>64</v>
      </c>
    </row>
  </sheetData>
  <mergeCells count="2">
    <mergeCell ref="A1:G2"/>
    <mergeCell ref="A13: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
  <sheetViews>
    <sheetView workbookViewId="0">
      <selection sqref="A1:N2"/>
    </sheetView>
  </sheetViews>
  <sheetFormatPr defaultRowHeight="13.8"/>
  <cols>
    <col min="1" max="1" width="24" customWidth="1"/>
    <col min="2" max="2" width="14" customWidth="1"/>
    <col min="3" max="3" width="3" customWidth="1"/>
    <col min="4" max="4" width="25" customWidth="1"/>
    <col min="5" max="5" width="14" customWidth="1"/>
    <col min="6" max="7" width="3" customWidth="1"/>
    <col min="8" max="14" width="13" customWidth="1"/>
  </cols>
  <sheetData>
    <row r="1" spans="1:14" ht="43.2" customHeight="1">
      <c r="A1" s="17" t="s">
        <v>65</v>
      </c>
      <c r="B1" s="17"/>
      <c r="C1" s="17"/>
      <c r="D1" s="17"/>
      <c r="E1" s="17"/>
      <c r="F1" s="17"/>
      <c r="G1" s="17"/>
      <c r="H1" s="17"/>
      <c r="I1" s="17"/>
      <c r="J1" s="17"/>
      <c r="K1" s="17"/>
      <c r="L1" s="17"/>
      <c r="M1" s="17"/>
      <c r="N1" s="17"/>
    </row>
    <row r="2" spans="1:14" ht="43.2" customHeight="1">
      <c r="A2" s="17"/>
      <c r="B2" s="17"/>
      <c r="C2" s="17"/>
      <c r="D2" s="17"/>
      <c r="E2" s="17"/>
      <c r="F2" s="17"/>
      <c r="G2" s="17"/>
      <c r="H2" s="17"/>
      <c r="I2" s="17"/>
      <c r="J2" s="17"/>
      <c r="K2" s="17"/>
      <c r="L2" s="17"/>
      <c r="M2" s="17"/>
      <c r="N2" s="17"/>
    </row>
    <row r="4" spans="1:14" ht="20.85" customHeight="1">
      <c r="A4" s="18" t="s">
        <v>66</v>
      </c>
      <c r="B4" s="18"/>
      <c r="C4" s="18"/>
      <c r="D4" s="18" t="s">
        <v>67</v>
      </c>
      <c r="E4" s="18"/>
      <c r="F4" s="10"/>
    </row>
    <row r="5" spans="1:14" ht="25.65" customHeight="1">
      <c r="A5" s="1" t="s">
        <v>68</v>
      </c>
      <c r="B5" s="1" t="s">
        <v>69</v>
      </c>
      <c r="D5" s="1" t="s">
        <v>52</v>
      </c>
      <c r="E5" s="1" t="s">
        <v>70</v>
      </c>
    </row>
    <row r="6" spans="1:14" ht="16.8">
      <c r="A6" s="2" t="s">
        <v>71</v>
      </c>
      <c r="B6" s="13">
        <f>COUNTA('Product Backlog'!$A$5:$A$54)</f>
        <v>50</v>
      </c>
      <c r="D6" s="2" t="s">
        <v>72</v>
      </c>
      <c r="E6" s="2">
        <f>COUNTIF('Product Backlog'!$I$5:$I$54,D6)</f>
        <v>14</v>
      </c>
    </row>
    <row r="7" spans="1:14" ht="16.8">
      <c r="A7" s="3" t="s">
        <v>73</v>
      </c>
      <c r="B7" s="14">
        <f>COUNTIF('Product Backlog'!$H$5:$H$54,"Sprint 1")</f>
        <v>30</v>
      </c>
      <c r="D7" s="3" t="s">
        <v>74</v>
      </c>
      <c r="E7" s="3">
        <f>COUNTIF('Product Backlog'!$I$5:$I$54,D7)</f>
        <v>3</v>
      </c>
    </row>
    <row r="8" spans="1:14" ht="16.8">
      <c r="A8" s="3" t="s">
        <v>75</v>
      </c>
      <c r="B8" s="14">
        <f>COUNTIF('Product Backlog'!$H$5:$H$54,"Sprint 2")</f>
        <v>20</v>
      </c>
      <c r="D8" s="3" t="s">
        <v>76</v>
      </c>
      <c r="E8" s="3">
        <f>COUNTIF('Product Backlog'!$I$5:$I$54,D8)</f>
        <v>21</v>
      </c>
    </row>
    <row r="9" spans="1:14" ht="16.8">
      <c r="A9" s="3" t="s">
        <v>77</v>
      </c>
      <c r="B9" s="14">
        <f>SUM('Product Backlog'!$G$5:$G$54)</f>
        <v>231</v>
      </c>
      <c r="D9" s="3" t="s">
        <v>78</v>
      </c>
      <c r="E9" s="3">
        <f>COUNTIF('Product Backlog'!$I$5:$I$54,D9)</f>
        <v>12</v>
      </c>
    </row>
    <row r="10" spans="1:14" ht="16.8">
      <c r="A10" s="3" t="s">
        <v>79</v>
      </c>
      <c r="B10" s="14">
        <f>SUMIF('Product Backlog'!$H$5:$H$54,"Sprint 1",'Product Backlog'!$G$5:$G$54)</f>
        <v>140</v>
      </c>
    </row>
    <row r="13" spans="1:14" ht="20.85" customHeight="1">
      <c r="A13" s="18" t="s">
        <v>80</v>
      </c>
      <c r="B13" s="18"/>
      <c r="C13" s="18"/>
      <c r="D13" s="18"/>
      <c r="E13" s="18"/>
      <c r="F13" s="18"/>
    </row>
    <row r="14" spans="1:14">
      <c r="A14" s="19" t="s">
        <v>81</v>
      </c>
      <c r="B14" s="19"/>
      <c r="C14" s="19"/>
      <c r="D14" s="19"/>
      <c r="E14" s="19"/>
      <c r="F14" s="19"/>
    </row>
    <row r="15" spans="1:14">
      <c r="A15" s="19"/>
      <c r="B15" s="19"/>
      <c r="C15" s="19"/>
      <c r="D15" s="19"/>
      <c r="E15" s="19"/>
      <c r="F15" s="19"/>
    </row>
    <row r="16" spans="1:14">
      <c r="A16" s="19"/>
      <c r="B16" s="19"/>
      <c r="C16" s="19"/>
      <c r="D16" s="19"/>
      <c r="E16" s="19"/>
      <c r="F16" s="19"/>
    </row>
    <row r="17" spans="1:6">
      <c r="A17" s="19"/>
      <c r="B17" s="19"/>
      <c r="C17" s="19"/>
      <c r="D17" s="19"/>
      <c r="E17" s="19"/>
      <c r="F17" s="19"/>
    </row>
    <row r="18" spans="1:6">
      <c r="A18" s="19"/>
      <c r="B18" s="19"/>
      <c r="C18" s="19"/>
      <c r="D18" s="19"/>
      <c r="E18" s="19"/>
      <c r="F18" s="19"/>
    </row>
  </sheetData>
  <mergeCells count="4">
    <mergeCell ref="A1:N2"/>
    <mergeCell ref="A4:E4"/>
    <mergeCell ref="A13:F13"/>
    <mergeCell ref="A14:F18"/>
  </mergeCells>
  <conditionalFormatting sqref="D6:D9">
    <cfRule type="containsText" dxfId="23" priority="1" operator="containsText" text="Hoàn thành"/>
    <cfRule type="containsText" dxfId="22" priority="3" operator="containsText" text="Đã hỗ trợ"/>
    <cfRule type="containsText" dxfId="21" priority="4" operator="containsText" text="Sơ khai"/>
    <cfRule type="containsText" dxfId="20" priority="6" operator="containsText" text="Chưa xác minh"/>
    <cfRule type="containsText" dxfId="19" priority="7" operator="containsText" text="Cần làm"/>
    <cfRule type="containsText" dxfId="18" priority="9" operator="containsText" text="Chưa có sản phẩm"/>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4"/>
  <sheetViews>
    <sheetView workbookViewId="0">
      <selection sqref="A1:P2"/>
    </sheetView>
  </sheetViews>
  <sheetFormatPr defaultRowHeight="13.8"/>
  <cols>
    <col min="1" max="2" width="9" customWidth="1"/>
    <col min="3" max="3" width="10" customWidth="1"/>
    <col min="4" max="4" width="32" customWidth="1"/>
    <col min="5" max="5" width="46" customWidth="1"/>
    <col min="6" max="6" width="12" customWidth="1"/>
    <col min="7" max="7" width="9" customWidth="1"/>
    <col min="8" max="8" width="12" customWidth="1"/>
    <col min="9" max="9" width="18" customWidth="1"/>
    <col min="10" max="10" width="29" customWidth="1"/>
    <col min="11" max="11" width="24" customWidth="1"/>
    <col min="12" max="12" width="40" customWidth="1"/>
    <col min="13" max="13" width="52" customWidth="1"/>
    <col min="14" max="14" width="35" customWidth="1"/>
    <col min="15" max="15" width="16" customWidth="1"/>
    <col min="16" max="16" width="34" customWidth="1"/>
  </cols>
  <sheetData>
    <row r="1" spans="1:16" ht="43.2" customHeight="1">
      <c r="A1" s="17" t="s">
        <v>82</v>
      </c>
      <c r="B1" s="17"/>
      <c r="C1" s="17"/>
      <c r="D1" s="17"/>
      <c r="E1" s="17"/>
      <c r="F1" s="17"/>
      <c r="G1" s="17"/>
      <c r="H1" s="17"/>
      <c r="I1" s="17"/>
      <c r="J1" s="17"/>
      <c r="K1" s="17"/>
      <c r="L1" s="17"/>
      <c r="M1" s="17"/>
      <c r="N1" s="17"/>
      <c r="O1" s="17"/>
      <c r="P1" s="17"/>
    </row>
    <row r="2" spans="1:16" ht="43.2" customHeight="1">
      <c r="A2" s="17"/>
      <c r="B2" s="17"/>
      <c r="C2" s="17"/>
      <c r="D2" s="17"/>
      <c r="E2" s="17"/>
      <c r="F2" s="17"/>
      <c r="G2" s="17"/>
      <c r="H2" s="17"/>
      <c r="I2" s="17"/>
      <c r="J2" s="17"/>
      <c r="K2" s="17"/>
      <c r="L2" s="17"/>
      <c r="M2" s="17"/>
      <c r="N2" s="17"/>
      <c r="O2" s="17"/>
      <c r="P2" s="17"/>
    </row>
    <row r="4" spans="1:16" ht="25.65" customHeight="1">
      <c r="A4" s="1" t="s">
        <v>83</v>
      </c>
      <c r="B4" s="1" t="s">
        <v>31</v>
      </c>
      <c r="C4" s="1" t="s">
        <v>84</v>
      </c>
      <c r="D4" s="1" t="s">
        <v>85</v>
      </c>
      <c r="E4" s="1" t="s">
        <v>86</v>
      </c>
      <c r="F4" s="1" t="s">
        <v>87</v>
      </c>
      <c r="G4" s="1" t="s">
        <v>88</v>
      </c>
      <c r="H4" s="1" t="s">
        <v>89</v>
      </c>
      <c r="I4" s="1" t="s">
        <v>90</v>
      </c>
      <c r="J4" s="1" t="s">
        <v>91</v>
      </c>
      <c r="K4" s="1" t="s">
        <v>92</v>
      </c>
      <c r="L4" s="1" t="s">
        <v>93</v>
      </c>
      <c r="M4" s="1" t="s">
        <v>94</v>
      </c>
      <c r="N4" s="1" t="s">
        <v>4</v>
      </c>
      <c r="O4" s="1" t="s">
        <v>95</v>
      </c>
      <c r="P4" s="1" t="s">
        <v>54</v>
      </c>
    </row>
    <row r="5" spans="1:16" ht="34.200000000000003">
      <c r="A5" s="2" t="s">
        <v>96</v>
      </c>
      <c r="B5" s="2" t="s">
        <v>97</v>
      </c>
      <c r="C5" s="2" t="s">
        <v>98</v>
      </c>
      <c r="D5" s="2" t="s">
        <v>99</v>
      </c>
      <c r="E5" s="2" t="s">
        <v>100</v>
      </c>
      <c r="F5" s="2" t="s">
        <v>101</v>
      </c>
      <c r="G5" s="15">
        <v>5</v>
      </c>
      <c r="H5" s="2" t="s">
        <v>55</v>
      </c>
      <c r="I5" s="2" t="s">
        <v>72</v>
      </c>
      <c r="J5" s="2" t="s">
        <v>102</v>
      </c>
      <c r="K5" s="2" t="s">
        <v>103</v>
      </c>
      <c r="L5" s="2" t="s">
        <v>104</v>
      </c>
      <c r="M5" s="2" t="s">
        <v>105</v>
      </c>
      <c r="N5" s="2" t="s">
        <v>31</v>
      </c>
      <c r="O5" s="11">
        <v>46226</v>
      </c>
      <c r="P5" s="2"/>
    </row>
    <row r="6" spans="1:16" ht="34.200000000000003">
      <c r="A6" s="3" t="s">
        <v>106</v>
      </c>
      <c r="B6" s="3" t="s">
        <v>107</v>
      </c>
      <c r="C6" s="3" t="s">
        <v>98</v>
      </c>
      <c r="D6" s="3" t="s">
        <v>108</v>
      </c>
      <c r="E6" s="3" t="s">
        <v>109</v>
      </c>
      <c r="F6" s="3" t="s">
        <v>110</v>
      </c>
      <c r="G6" s="16">
        <v>5</v>
      </c>
      <c r="H6" s="3" t="s">
        <v>55</v>
      </c>
      <c r="I6" s="3" t="s">
        <v>72</v>
      </c>
      <c r="J6" s="3" t="s">
        <v>111</v>
      </c>
      <c r="K6" s="3" t="s">
        <v>112</v>
      </c>
      <c r="L6" s="3" t="s">
        <v>113</v>
      </c>
      <c r="M6" s="3" t="s">
        <v>114</v>
      </c>
      <c r="N6" s="3" t="s">
        <v>31</v>
      </c>
      <c r="O6" s="12">
        <v>46226</v>
      </c>
      <c r="P6" s="3"/>
    </row>
    <row r="7" spans="1:16" ht="34.200000000000003">
      <c r="A7" s="3" t="s">
        <v>115</v>
      </c>
      <c r="B7" s="3" t="s">
        <v>116</v>
      </c>
      <c r="C7" s="3" t="s">
        <v>98</v>
      </c>
      <c r="D7" s="3" t="s">
        <v>117</v>
      </c>
      <c r="E7" s="3" t="s">
        <v>118</v>
      </c>
      <c r="F7" s="3" t="s">
        <v>119</v>
      </c>
      <c r="G7" s="16">
        <v>5</v>
      </c>
      <c r="H7" s="3" t="s">
        <v>55</v>
      </c>
      <c r="I7" s="3" t="s">
        <v>72</v>
      </c>
      <c r="J7" s="3" t="s">
        <v>111</v>
      </c>
      <c r="K7" s="3" t="s">
        <v>120</v>
      </c>
      <c r="L7" s="3" t="s">
        <v>121</v>
      </c>
      <c r="M7" s="3" t="s">
        <v>122</v>
      </c>
      <c r="N7" s="3" t="s">
        <v>31</v>
      </c>
      <c r="O7" s="12">
        <v>46226</v>
      </c>
      <c r="P7" s="3"/>
    </row>
    <row r="8" spans="1:16" ht="34.200000000000003">
      <c r="A8" s="3" t="s">
        <v>123</v>
      </c>
      <c r="B8" s="3" t="s">
        <v>124</v>
      </c>
      <c r="C8" s="3" t="s">
        <v>98</v>
      </c>
      <c r="D8" s="3" t="s">
        <v>125</v>
      </c>
      <c r="E8" s="3" t="s">
        <v>126</v>
      </c>
      <c r="F8" s="3" t="s">
        <v>119</v>
      </c>
      <c r="G8" s="16">
        <v>5</v>
      </c>
      <c r="H8" s="3" t="s">
        <v>55</v>
      </c>
      <c r="I8" s="3" t="s">
        <v>72</v>
      </c>
      <c r="J8" s="3" t="s">
        <v>111</v>
      </c>
      <c r="K8" s="3" t="s">
        <v>120</v>
      </c>
      <c r="L8" s="3" t="s">
        <v>121</v>
      </c>
      <c r="M8" s="3" t="s">
        <v>127</v>
      </c>
      <c r="N8" s="3" t="s">
        <v>31</v>
      </c>
      <c r="O8" s="12">
        <v>46226</v>
      </c>
      <c r="P8" s="3"/>
    </row>
    <row r="9" spans="1:16" ht="34.200000000000003">
      <c r="A9" s="3" t="s">
        <v>128</v>
      </c>
      <c r="B9" s="3" t="s">
        <v>129</v>
      </c>
      <c r="C9" s="3" t="s">
        <v>130</v>
      </c>
      <c r="D9" s="3" t="s">
        <v>131</v>
      </c>
      <c r="E9" s="3" t="s">
        <v>132</v>
      </c>
      <c r="F9" s="3" t="s">
        <v>101</v>
      </c>
      <c r="G9" s="16">
        <v>3</v>
      </c>
      <c r="H9" s="3" t="s">
        <v>55</v>
      </c>
      <c r="I9" s="3" t="s">
        <v>72</v>
      </c>
      <c r="J9" s="3" t="s">
        <v>133</v>
      </c>
      <c r="K9" s="3" t="s">
        <v>112</v>
      </c>
      <c r="L9" s="3" t="s">
        <v>104</v>
      </c>
      <c r="M9" s="3" t="s">
        <v>134</v>
      </c>
      <c r="N9" s="3" t="s">
        <v>135</v>
      </c>
      <c r="O9" s="12">
        <v>46226</v>
      </c>
      <c r="P9" s="3"/>
    </row>
    <row r="10" spans="1:16" ht="34.200000000000003">
      <c r="A10" s="3" t="s">
        <v>136</v>
      </c>
      <c r="B10" s="3" t="s">
        <v>137</v>
      </c>
      <c r="C10" s="3" t="s">
        <v>130</v>
      </c>
      <c r="D10" s="3" t="s">
        <v>138</v>
      </c>
      <c r="E10" s="3" t="s">
        <v>139</v>
      </c>
      <c r="F10" s="3" t="s">
        <v>119</v>
      </c>
      <c r="G10" s="16">
        <v>8</v>
      </c>
      <c r="H10" s="3" t="s">
        <v>60</v>
      </c>
      <c r="I10" s="3" t="s">
        <v>72</v>
      </c>
      <c r="J10" s="3" t="s">
        <v>140</v>
      </c>
      <c r="K10" s="3" t="s">
        <v>141</v>
      </c>
      <c r="L10" s="3" t="s">
        <v>142</v>
      </c>
      <c r="M10" s="3" t="s">
        <v>143</v>
      </c>
      <c r="N10" s="3" t="s">
        <v>135</v>
      </c>
      <c r="O10" s="12">
        <v>46254</v>
      </c>
      <c r="P10" s="3" t="s">
        <v>144</v>
      </c>
    </row>
    <row r="11" spans="1:16" ht="34.200000000000003">
      <c r="A11" s="3" t="s">
        <v>145</v>
      </c>
      <c r="B11" s="3" t="s">
        <v>146</v>
      </c>
      <c r="C11" s="3" t="s">
        <v>130</v>
      </c>
      <c r="D11" s="3" t="s">
        <v>147</v>
      </c>
      <c r="E11" s="3" t="s">
        <v>148</v>
      </c>
      <c r="F11" s="3" t="s">
        <v>101</v>
      </c>
      <c r="G11" s="16">
        <v>3</v>
      </c>
      <c r="H11" s="3" t="s">
        <v>60</v>
      </c>
      <c r="I11" s="3" t="s">
        <v>72</v>
      </c>
      <c r="J11" s="3" t="s">
        <v>140</v>
      </c>
      <c r="K11" s="3" t="s">
        <v>112</v>
      </c>
      <c r="L11" s="3" t="s">
        <v>104</v>
      </c>
      <c r="M11" s="3" t="s">
        <v>149</v>
      </c>
      <c r="N11" s="3" t="s">
        <v>135</v>
      </c>
      <c r="O11" s="12">
        <v>46254</v>
      </c>
      <c r="P11" s="3" t="s">
        <v>144</v>
      </c>
    </row>
    <row r="12" spans="1:16" ht="34.200000000000003">
      <c r="A12" s="3" t="s">
        <v>150</v>
      </c>
      <c r="B12" s="3" t="s">
        <v>151</v>
      </c>
      <c r="C12" s="3" t="s">
        <v>152</v>
      </c>
      <c r="D12" s="3" t="s">
        <v>153</v>
      </c>
      <c r="E12" s="3" t="s">
        <v>154</v>
      </c>
      <c r="F12" s="3" t="s">
        <v>101</v>
      </c>
      <c r="G12" s="16">
        <v>3</v>
      </c>
      <c r="H12" s="3" t="s">
        <v>60</v>
      </c>
      <c r="I12" s="3" t="s">
        <v>72</v>
      </c>
      <c r="J12" s="3" t="s">
        <v>140</v>
      </c>
      <c r="K12" s="3" t="s">
        <v>112</v>
      </c>
      <c r="L12" s="3" t="s">
        <v>104</v>
      </c>
      <c r="M12" s="3" t="s">
        <v>155</v>
      </c>
      <c r="N12" s="3" t="s">
        <v>135</v>
      </c>
      <c r="O12" s="12">
        <v>46254</v>
      </c>
      <c r="P12" s="3" t="s">
        <v>144</v>
      </c>
    </row>
    <row r="13" spans="1:16" ht="34.200000000000003">
      <c r="A13" s="3" t="s">
        <v>156</v>
      </c>
      <c r="B13" s="3" t="s">
        <v>157</v>
      </c>
      <c r="C13" s="3" t="s">
        <v>152</v>
      </c>
      <c r="D13" s="3" t="s">
        <v>158</v>
      </c>
      <c r="E13" s="3" t="s">
        <v>159</v>
      </c>
      <c r="F13" s="3" t="s">
        <v>119</v>
      </c>
      <c r="G13" s="16">
        <v>3</v>
      </c>
      <c r="H13" s="3" t="s">
        <v>60</v>
      </c>
      <c r="I13" s="3" t="s">
        <v>74</v>
      </c>
      <c r="J13" s="3" t="s">
        <v>140</v>
      </c>
      <c r="K13" s="3" t="s">
        <v>141</v>
      </c>
      <c r="L13" s="3" t="s">
        <v>142</v>
      </c>
      <c r="M13" s="3" t="s">
        <v>160</v>
      </c>
      <c r="N13" s="3" t="s">
        <v>31</v>
      </c>
      <c r="O13" s="12">
        <v>46254</v>
      </c>
      <c r="P13" s="3" t="s">
        <v>144</v>
      </c>
    </row>
    <row r="14" spans="1:16" ht="34.200000000000003">
      <c r="A14" s="3" t="s">
        <v>161</v>
      </c>
      <c r="B14" s="3" t="s">
        <v>162</v>
      </c>
      <c r="C14" s="3" t="s">
        <v>152</v>
      </c>
      <c r="D14" s="3" t="s">
        <v>163</v>
      </c>
      <c r="E14" s="3" t="s">
        <v>164</v>
      </c>
      <c r="F14" s="3" t="s">
        <v>110</v>
      </c>
      <c r="G14" s="16">
        <v>8</v>
      </c>
      <c r="H14" s="3" t="s">
        <v>55</v>
      </c>
      <c r="I14" s="3" t="s">
        <v>72</v>
      </c>
      <c r="J14" s="3" t="s">
        <v>165</v>
      </c>
      <c r="K14" s="3" t="s">
        <v>103</v>
      </c>
      <c r="L14" s="3" t="s">
        <v>104</v>
      </c>
      <c r="M14" s="3" t="s">
        <v>166</v>
      </c>
      <c r="N14" s="3" t="s">
        <v>31</v>
      </c>
      <c r="O14" s="12">
        <v>46226</v>
      </c>
      <c r="P14" s="3"/>
    </row>
    <row r="15" spans="1:16" ht="34.200000000000003">
      <c r="A15" s="3" t="s">
        <v>167</v>
      </c>
      <c r="B15" s="3" t="s">
        <v>168</v>
      </c>
      <c r="C15" s="3" t="s">
        <v>169</v>
      </c>
      <c r="D15" s="3" t="s">
        <v>170</v>
      </c>
      <c r="E15" s="3" t="s">
        <v>171</v>
      </c>
      <c r="F15" s="3" t="s">
        <v>119</v>
      </c>
      <c r="G15" s="16">
        <v>3</v>
      </c>
      <c r="H15" s="3" t="s">
        <v>55</v>
      </c>
      <c r="I15" s="3" t="s">
        <v>72</v>
      </c>
      <c r="J15" s="3" t="s">
        <v>172</v>
      </c>
      <c r="K15" s="3" t="s">
        <v>141</v>
      </c>
      <c r="L15" s="3" t="s">
        <v>142</v>
      </c>
      <c r="M15" s="3" t="s">
        <v>173</v>
      </c>
      <c r="N15" s="3" t="s">
        <v>31</v>
      </c>
      <c r="O15" s="12">
        <v>46226</v>
      </c>
      <c r="P15" s="3"/>
    </row>
    <row r="16" spans="1:16" ht="34.200000000000003">
      <c r="A16" s="3" t="s">
        <v>174</v>
      </c>
      <c r="B16" s="3" t="s">
        <v>175</v>
      </c>
      <c r="C16" s="3" t="s">
        <v>169</v>
      </c>
      <c r="D16" s="3" t="s">
        <v>176</v>
      </c>
      <c r="E16" s="3" t="s">
        <v>177</v>
      </c>
      <c r="F16" s="3" t="s">
        <v>101</v>
      </c>
      <c r="G16" s="16">
        <v>3</v>
      </c>
      <c r="H16" s="3" t="s">
        <v>55</v>
      </c>
      <c r="I16" s="3" t="s">
        <v>72</v>
      </c>
      <c r="J16" s="3" t="s">
        <v>172</v>
      </c>
      <c r="K16" s="3" t="s">
        <v>103</v>
      </c>
      <c r="L16" s="3" t="s">
        <v>104</v>
      </c>
      <c r="M16" s="3" t="s">
        <v>178</v>
      </c>
      <c r="N16" s="3" t="s">
        <v>31</v>
      </c>
      <c r="O16" s="12">
        <v>46226</v>
      </c>
      <c r="P16" s="3"/>
    </row>
    <row r="17" spans="1:16" ht="34.200000000000003">
      <c r="A17" s="3" t="s">
        <v>179</v>
      </c>
      <c r="B17" s="3" t="s">
        <v>180</v>
      </c>
      <c r="C17" s="3" t="s">
        <v>169</v>
      </c>
      <c r="D17" s="3" t="s">
        <v>181</v>
      </c>
      <c r="E17" s="3" t="s">
        <v>182</v>
      </c>
      <c r="F17" s="3" t="s">
        <v>119</v>
      </c>
      <c r="G17" s="16">
        <v>3</v>
      </c>
      <c r="H17" s="3" t="s">
        <v>60</v>
      </c>
      <c r="I17" s="3" t="s">
        <v>76</v>
      </c>
      <c r="J17" s="3" t="s">
        <v>140</v>
      </c>
      <c r="K17" s="3" t="s">
        <v>183</v>
      </c>
      <c r="L17" s="3" t="s">
        <v>104</v>
      </c>
      <c r="M17" s="3" t="s">
        <v>184</v>
      </c>
      <c r="N17" s="3" t="s">
        <v>31</v>
      </c>
      <c r="O17" s="12">
        <v>46254</v>
      </c>
      <c r="P17" s="3" t="s">
        <v>144</v>
      </c>
    </row>
    <row r="18" spans="1:16" ht="34.200000000000003">
      <c r="A18" s="3" t="s">
        <v>185</v>
      </c>
      <c r="B18" s="3" t="s">
        <v>186</v>
      </c>
      <c r="C18" s="3" t="s">
        <v>187</v>
      </c>
      <c r="D18" s="3" t="s">
        <v>188</v>
      </c>
      <c r="E18" s="3" t="s">
        <v>189</v>
      </c>
      <c r="F18" s="3" t="s">
        <v>119</v>
      </c>
      <c r="G18" s="16">
        <v>5</v>
      </c>
      <c r="H18" s="3" t="s">
        <v>55</v>
      </c>
      <c r="I18" s="3" t="s">
        <v>76</v>
      </c>
      <c r="J18" s="3" t="s">
        <v>172</v>
      </c>
      <c r="K18" s="3" t="s">
        <v>183</v>
      </c>
      <c r="L18" s="3" t="s">
        <v>104</v>
      </c>
      <c r="M18" s="3" t="s">
        <v>190</v>
      </c>
      <c r="N18" s="3" t="s">
        <v>31</v>
      </c>
      <c r="O18" s="12">
        <v>46226</v>
      </c>
      <c r="P18" s="3"/>
    </row>
    <row r="19" spans="1:16" ht="34.200000000000003">
      <c r="A19" s="3" t="s">
        <v>191</v>
      </c>
      <c r="B19" s="3" t="s">
        <v>192</v>
      </c>
      <c r="C19" s="3" t="s">
        <v>187</v>
      </c>
      <c r="D19" s="3" t="s">
        <v>193</v>
      </c>
      <c r="E19" s="3" t="s">
        <v>194</v>
      </c>
      <c r="F19" s="3" t="s">
        <v>101</v>
      </c>
      <c r="G19" s="16">
        <v>5</v>
      </c>
      <c r="H19" s="3" t="s">
        <v>55</v>
      </c>
      <c r="I19" s="3" t="s">
        <v>72</v>
      </c>
      <c r="J19" s="3" t="s">
        <v>102</v>
      </c>
      <c r="K19" s="3" t="s">
        <v>103</v>
      </c>
      <c r="L19" s="3" t="s">
        <v>104</v>
      </c>
      <c r="M19" s="3" t="s">
        <v>195</v>
      </c>
      <c r="N19" s="3" t="s">
        <v>31</v>
      </c>
      <c r="O19" s="12">
        <v>46226</v>
      </c>
      <c r="P19" s="3"/>
    </row>
    <row r="20" spans="1:16" ht="34.200000000000003">
      <c r="A20" s="3" t="s">
        <v>196</v>
      </c>
      <c r="B20" s="3" t="s">
        <v>197</v>
      </c>
      <c r="C20" s="3" t="s">
        <v>187</v>
      </c>
      <c r="D20" s="3" t="s">
        <v>198</v>
      </c>
      <c r="E20" s="3" t="s">
        <v>199</v>
      </c>
      <c r="F20" s="3" t="s">
        <v>119</v>
      </c>
      <c r="G20" s="16">
        <v>5</v>
      </c>
      <c r="H20" s="3" t="s">
        <v>55</v>
      </c>
      <c r="I20" s="3" t="s">
        <v>72</v>
      </c>
      <c r="J20" s="3" t="s">
        <v>200</v>
      </c>
      <c r="K20" s="3" t="s">
        <v>103</v>
      </c>
      <c r="L20" s="3" t="s">
        <v>104</v>
      </c>
      <c r="M20" s="3" t="s">
        <v>201</v>
      </c>
      <c r="N20" s="3" t="s">
        <v>31</v>
      </c>
      <c r="O20" s="12">
        <v>46226</v>
      </c>
      <c r="P20" s="3"/>
    </row>
    <row r="21" spans="1:16" ht="34.200000000000003">
      <c r="A21" s="3" t="s">
        <v>202</v>
      </c>
      <c r="B21" s="3" t="s">
        <v>203</v>
      </c>
      <c r="C21" s="3" t="s">
        <v>187</v>
      </c>
      <c r="D21" s="3" t="s">
        <v>204</v>
      </c>
      <c r="E21" s="3" t="s">
        <v>205</v>
      </c>
      <c r="F21" s="3" t="s">
        <v>119</v>
      </c>
      <c r="G21" s="16">
        <v>5</v>
      </c>
      <c r="H21" s="3" t="s">
        <v>55</v>
      </c>
      <c r="I21" s="3" t="s">
        <v>74</v>
      </c>
      <c r="J21" s="3" t="s">
        <v>206</v>
      </c>
      <c r="K21" s="3" t="s">
        <v>120</v>
      </c>
      <c r="L21" s="3" t="s">
        <v>121</v>
      </c>
      <c r="M21" s="3" t="s">
        <v>207</v>
      </c>
      <c r="N21" s="3" t="s">
        <v>31</v>
      </c>
      <c r="O21" s="12">
        <v>46226</v>
      </c>
      <c r="P21" s="3"/>
    </row>
    <row r="22" spans="1:16" ht="34.200000000000003">
      <c r="A22" s="3" t="s">
        <v>208</v>
      </c>
      <c r="B22" s="3" t="s">
        <v>209</v>
      </c>
      <c r="C22" s="3" t="s">
        <v>187</v>
      </c>
      <c r="D22" s="3" t="s">
        <v>210</v>
      </c>
      <c r="E22" s="3" t="s">
        <v>211</v>
      </c>
      <c r="F22" s="3" t="s">
        <v>110</v>
      </c>
      <c r="G22" s="16">
        <v>5</v>
      </c>
      <c r="H22" s="3" t="s">
        <v>55</v>
      </c>
      <c r="I22" s="3" t="s">
        <v>76</v>
      </c>
      <c r="J22" s="3" t="s">
        <v>29</v>
      </c>
      <c r="K22" s="3" t="s">
        <v>183</v>
      </c>
      <c r="L22" s="3" t="s">
        <v>104</v>
      </c>
      <c r="M22" s="3" t="s">
        <v>212</v>
      </c>
      <c r="N22" s="3" t="s">
        <v>31</v>
      </c>
      <c r="O22" s="12">
        <v>46226</v>
      </c>
      <c r="P22" s="3"/>
    </row>
    <row r="23" spans="1:16" ht="34.200000000000003">
      <c r="A23" s="3" t="s">
        <v>213</v>
      </c>
      <c r="B23" s="3" t="s">
        <v>214</v>
      </c>
      <c r="C23" s="3" t="s">
        <v>215</v>
      </c>
      <c r="D23" s="3" t="s">
        <v>216</v>
      </c>
      <c r="E23" s="3" t="s">
        <v>217</v>
      </c>
      <c r="F23" s="3" t="s">
        <v>110</v>
      </c>
      <c r="G23" s="16">
        <v>3</v>
      </c>
      <c r="H23" s="3" t="s">
        <v>55</v>
      </c>
      <c r="I23" s="3" t="s">
        <v>74</v>
      </c>
      <c r="J23" s="3" t="s">
        <v>172</v>
      </c>
      <c r="K23" s="3" t="s">
        <v>120</v>
      </c>
      <c r="L23" s="3" t="s">
        <v>121</v>
      </c>
      <c r="M23" s="3" t="s">
        <v>218</v>
      </c>
      <c r="N23" s="3" t="s">
        <v>31</v>
      </c>
      <c r="O23" s="12">
        <v>46226</v>
      </c>
      <c r="P23" s="3"/>
    </row>
    <row r="24" spans="1:16" ht="34.200000000000003">
      <c r="A24" s="3" t="s">
        <v>219</v>
      </c>
      <c r="B24" s="3" t="s">
        <v>220</v>
      </c>
      <c r="C24" s="3" t="s">
        <v>215</v>
      </c>
      <c r="D24" s="3" t="s">
        <v>221</v>
      </c>
      <c r="E24" s="3" t="s">
        <v>222</v>
      </c>
      <c r="F24" s="3" t="s">
        <v>119</v>
      </c>
      <c r="G24" s="16">
        <v>3</v>
      </c>
      <c r="H24" s="3" t="s">
        <v>55</v>
      </c>
      <c r="I24" s="3" t="s">
        <v>76</v>
      </c>
      <c r="J24" s="3" t="s">
        <v>223</v>
      </c>
      <c r="K24" s="3" t="s">
        <v>183</v>
      </c>
      <c r="L24" s="3" t="s">
        <v>104</v>
      </c>
      <c r="M24" s="3" t="s">
        <v>224</v>
      </c>
      <c r="N24" s="3" t="s">
        <v>31</v>
      </c>
      <c r="O24" s="12">
        <v>46226</v>
      </c>
      <c r="P24" s="3"/>
    </row>
    <row r="25" spans="1:16" ht="34.200000000000003">
      <c r="A25" s="3" t="s">
        <v>225</v>
      </c>
      <c r="B25" s="3" t="s">
        <v>226</v>
      </c>
      <c r="C25" s="3" t="s">
        <v>227</v>
      </c>
      <c r="D25" s="3" t="s">
        <v>228</v>
      </c>
      <c r="E25" s="3" t="s">
        <v>229</v>
      </c>
      <c r="F25" s="3" t="s">
        <v>119</v>
      </c>
      <c r="G25" s="16">
        <v>3</v>
      </c>
      <c r="H25" s="3" t="s">
        <v>55</v>
      </c>
      <c r="I25" s="3" t="s">
        <v>76</v>
      </c>
      <c r="J25" s="3" t="s">
        <v>223</v>
      </c>
      <c r="K25" s="3" t="s">
        <v>183</v>
      </c>
      <c r="L25" s="3" t="s">
        <v>104</v>
      </c>
      <c r="M25" s="3" t="s">
        <v>230</v>
      </c>
      <c r="N25" s="3" t="s">
        <v>31</v>
      </c>
      <c r="O25" s="12">
        <v>46226</v>
      </c>
      <c r="P25" s="3"/>
    </row>
    <row r="26" spans="1:16" ht="34.200000000000003">
      <c r="A26" s="3" t="s">
        <v>231</v>
      </c>
      <c r="B26" s="3" t="s">
        <v>232</v>
      </c>
      <c r="C26" s="3" t="s">
        <v>227</v>
      </c>
      <c r="D26" s="3" t="s">
        <v>233</v>
      </c>
      <c r="E26" s="3" t="s">
        <v>234</v>
      </c>
      <c r="F26" s="3" t="s">
        <v>110</v>
      </c>
      <c r="G26" s="16">
        <v>3</v>
      </c>
      <c r="H26" s="3" t="s">
        <v>55</v>
      </c>
      <c r="I26" s="3" t="s">
        <v>72</v>
      </c>
      <c r="J26" s="3" t="s">
        <v>235</v>
      </c>
      <c r="K26" s="3" t="s">
        <v>103</v>
      </c>
      <c r="L26" s="3" t="s">
        <v>104</v>
      </c>
      <c r="M26" s="3" t="s">
        <v>236</v>
      </c>
      <c r="N26" s="3" t="s">
        <v>31</v>
      </c>
      <c r="O26" s="12">
        <v>46226</v>
      </c>
      <c r="P26" s="3"/>
    </row>
    <row r="27" spans="1:16" ht="34.200000000000003">
      <c r="A27" s="3" t="s">
        <v>237</v>
      </c>
      <c r="B27" s="3" t="s">
        <v>238</v>
      </c>
      <c r="C27" s="3" t="s">
        <v>227</v>
      </c>
      <c r="D27" s="3" t="s">
        <v>239</v>
      </c>
      <c r="E27" s="3" t="s">
        <v>240</v>
      </c>
      <c r="F27" s="3" t="s">
        <v>119</v>
      </c>
      <c r="G27" s="16">
        <v>3</v>
      </c>
      <c r="H27" s="3" t="s">
        <v>60</v>
      </c>
      <c r="I27" s="3" t="s">
        <v>76</v>
      </c>
      <c r="J27" s="3" t="s">
        <v>140</v>
      </c>
      <c r="K27" s="3" t="s">
        <v>183</v>
      </c>
      <c r="L27" s="3" t="s">
        <v>104</v>
      </c>
      <c r="M27" s="3" t="s">
        <v>241</v>
      </c>
      <c r="N27" s="3" t="s">
        <v>31</v>
      </c>
      <c r="O27" s="12">
        <v>46254</v>
      </c>
      <c r="P27" s="3" t="s">
        <v>144</v>
      </c>
    </row>
    <row r="28" spans="1:16" ht="34.200000000000003">
      <c r="A28" s="3" t="s">
        <v>242</v>
      </c>
      <c r="B28" s="3" t="s">
        <v>243</v>
      </c>
      <c r="C28" s="3" t="s">
        <v>244</v>
      </c>
      <c r="D28" s="3" t="s">
        <v>245</v>
      </c>
      <c r="E28" s="3" t="s">
        <v>246</v>
      </c>
      <c r="F28" s="3" t="s">
        <v>119</v>
      </c>
      <c r="G28" s="16">
        <v>3</v>
      </c>
      <c r="H28" s="3" t="s">
        <v>60</v>
      </c>
      <c r="I28" s="3" t="s">
        <v>76</v>
      </c>
      <c r="J28" s="3" t="s">
        <v>140</v>
      </c>
      <c r="K28" s="3" t="s">
        <v>183</v>
      </c>
      <c r="L28" s="3" t="s">
        <v>104</v>
      </c>
      <c r="M28" s="3" t="s">
        <v>247</v>
      </c>
      <c r="N28" s="3" t="s">
        <v>31</v>
      </c>
      <c r="O28" s="12">
        <v>46254</v>
      </c>
      <c r="P28" s="3" t="s">
        <v>144</v>
      </c>
    </row>
    <row r="29" spans="1:16" ht="34.200000000000003">
      <c r="A29" s="3" t="s">
        <v>248</v>
      </c>
      <c r="B29" s="3" t="s">
        <v>249</v>
      </c>
      <c r="C29" s="3" t="s">
        <v>244</v>
      </c>
      <c r="D29" s="3" t="s">
        <v>250</v>
      </c>
      <c r="E29" s="3" t="s">
        <v>251</v>
      </c>
      <c r="F29" s="3" t="s">
        <v>119</v>
      </c>
      <c r="G29" s="16">
        <v>8</v>
      </c>
      <c r="H29" s="3" t="s">
        <v>60</v>
      </c>
      <c r="I29" s="3" t="s">
        <v>76</v>
      </c>
      <c r="J29" s="3" t="s">
        <v>140</v>
      </c>
      <c r="K29" s="3" t="s">
        <v>183</v>
      </c>
      <c r="L29" s="3" t="s">
        <v>104</v>
      </c>
      <c r="M29" s="3" t="s">
        <v>252</v>
      </c>
      <c r="N29" s="3" t="s">
        <v>31</v>
      </c>
      <c r="O29" s="12">
        <v>46254</v>
      </c>
      <c r="P29" s="3" t="s">
        <v>144</v>
      </c>
    </row>
    <row r="30" spans="1:16" ht="34.200000000000003">
      <c r="A30" s="3" t="s">
        <v>253</v>
      </c>
      <c r="B30" s="3" t="s">
        <v>254</v>
      </c>
      <c r="C30" s="3" t="s">
        <v>244</v>
      </c>
      <c r="D30" s="3" t="s">
        <v>255</v>
      </c>
      <c r="E30" s="3" t="s">
        <v>256</v>
      </c>
      <c r="F30" s="3" t="s">
        <v>119</v>
      </c>
      <c r="G30" s="16">
        <v>3</v>
      </c>
      <c r="H30" s="3" t="s">
        <v>60</v>
      </c>
      <c r="I30" s="3" t="s">
        <v>76</v>
      </c>
      <c r="J30" s="3" t="s">
        <v>140</v>
      </c>
      <c r="K30" s="3" t="s">
        <v>183</v>
      </c>
      <c r="L30" s="3" t="s">
        <v>104</v>
      </c>
      <c r="M30" s="3" t="s">
        <v>257</v>
      </c>
      <c r="N30" s="3" t="s">
        <v>31</v>
      </c>
      <c r="O30" s="12">
        <v>46254</v>
      </c>
      <c r="P30" s="3" t="s">
        <v>144</v>
      </c>
    </row>
    <row r="31" spans="1:16" ht="34.200000000000003">
      <c r="A31" s="3" t="s">
        <v>258</v>
      </c>
      <c r="B31" s="3" t="s">
        <v>259</v>
      </c>
      <c r="C31" s="3" t="s">
        <v>244</v>
      </c>
      <c r="D31" s="3" t="s">
        <v>260</v>
      </c>
      <c r="E31" s="3" t="s">
        <v>261</v>
      </c>
      <c r="F31" s="3" t="s">
        <v>119</v>
      </c>
      <c r="G31" s="16">
        <v>3</v>
      </c>
      <c r="H31" s="3" t="s">
        <v>60</v>
      </c>
      <c r="I31" s="3" t="s">
        <v>76</v>
      </c>
      <c r="J31" s="3" t="s">
        <v>140</v>
      </c>
      <c r="K31" s="3" t="s">
        <v>183</v>
      </c>
      <c r="L31" s="3" t="s">
        <v>104</v>
      </c>
      <c r="M31" s="3" t="s">
        <v>262</v>
      </c>
      <c r="N31" s="3" t="s">
        <v>31</v>
      </c>
      <c r="O31" s="12">
        <v>46254</v>
      </c>
      <c r="P31" s="3" t="s">
        <v>144</v>
      </c>
    </row>
    <row r="32" spans="1:16" ht="34.200000000000003">
      <c r="A32" s="3" t="s">
        <v>263</v>
      </c>
      <c r="B32" s="3" t="s">
        <v>264</v>
      </c>
      <c r="C32" s="3" t="s">
        <v>265</v>
      </c>
      <c r="D32" s="3" t="s">
        <v>266</v>
      </c>
      <c r="E32" s="3" t="s">
        <v>267</v>
      </c>
      <c r="F32" s="3" t="s">
        <v>119</v>
      </c>
      <c r="G32" s="16">
        <v>3</v>
      </c>
      <c r="H32" s="3" t="s">
        <v>60</v>
      </c>
      <c r="I32" s="3" t="s">
        <v>76</v>
      </c>
      <c r="J32" s="3" t="s">
        <v>140</v>
      </c>
      <c r="K32" s="3" t="s">
        <v>183</v>
      </c>
      <c r="L32" s="3" t="s">
        <v>104</v>
      </c>
      <c r="M32" s="3" t="s">
        <v>268</v>
      </c>
      <c r="N32" s="3" t="s">
        <v>31</v>
      </c>
      <c r="O32" s="12">
        <v>46254</v>
      </c>
      <c r="P32" s="3" t="s">
        <v>144</v>
      </c>
    </row>
    <row r="33" spans="1:16" ht="34.200000000000003">
      <c r="A33" s="3" t="s">
        <v>269</v>
      </c>
      <c r="B33" s="3" t="s">
        <v>270</v>
      </c>
      <c r="C33" s="3" t="s">
        <v>265</v>
      </c>
      <c r="D33" s="3" t="s">
        <v>271</v>
      </c>
      <c r="E33" s="3" t="s">
        <v>272</v>
      </c>
      <c r="F33" s="3" t="s">
        <v>119</v>
      </c>
      <c r="G33" s="16">
        <v>8</v>
      </c>
      <c r="H33" s="3" t="s">
        <v>60</v>
      </c>
      <c r="I33" s="3" t="s">
        <v>76</v>
      </c>
      <c r="J33" s="3" t="s">
        <v>140</v>
      </c>
      <c r="K33" s="3" t="s">
        <v>183</v>
      </c>
      <c r="L33" s="3" t="s">
        <v>104</v>
      </c>
      <c r="M33" s="3" t="s">
        <v>273</v>
      </c>
      <c r="N33" s="3" t="s">
        <v>31</v>
      </c>
      <c r="O33" s="12">
        <v>46254</v>
      </c>
      <c r="P33" s="3" t="s">
        <v>144</v>
      </c>
    </row>
    <row r="34" spans="1:16" ht="34.200000000000003">
      <c r="A34" s="3" t="s">
        <v>274</v>
      </c>
      <c r="B34" s="3" t="s">
        <v>275</v>
      </c>
      <c r="C34" s="3" t="s">
        <v>265</v>
      </c>
      <c r="D34" s="3" t="s">
        <v>276</v>
      </c>
      <c r="E34" s="3" t="s">
        <v>277</v>
      </c>
      <c r="F34" s="3" t="s">
        <v>119</v>
      </c>
      <c r="G34" s="16">
        <v>3</v>
      </c>
      <c r="H34" s="3" t="s">
        <v>60</v>
      </c>
      <c r="I34" s="3" t="s">
        <v>76</v>
      </c>
      <c r="J34" s="3" t="s">
        <v>140</v>
      </c>
      <c r="K34" s="3" t="s">
        <v>183</v>
      </c>
      <c r="L34" s="3" t="s">
        <v>104</v>
      </c>
      <c r="M34" s="3" t="s">
        <v>278</v>
      </c>
      <c r="N34" s="3" t="s">
        <v>31</v>
      </c>
      <c r="O34" s="12">
        <v>46254</v>
      </c>
      <c r="P34" s="3" t="s">
        <v>144</v>
      </c>
    </row>
    <row r="35" spans="1:16" ht="34.200000000000003">
      <c r="A35" s="3" t="s">
        <v>279</v>
      </c>
      <c r="B35" s="3" t="s">
        <v>280</v>
      </c>
      <c r="C35" s="3" t="s">
        <v>281</v>
      </c>
      <c r="D35" s="3" t="s">
        <v>282</v>
      </c>
      <c r="E35" s="3" t="s">
        <v>283</v>
      </c>
      <c r="F35" s="3" t="s">
        <v>119</v>
      </c>
      <c r="G35" s="16">
        <v>8</v>
      </c>
      <c r="H35" s="3" t="s">
        <v>55</v>
      </c>
      <c r="I35" s="3" t="s">
        <v>76</v>
      </c>
      <c r="J35" s="3" t="s">
        <v>172</v>
      </c>
      <c r="K35" s="3" t="s">
        <v>183</v>
      </c>
      <c r="L35" s="3" t="s">
        <v>284</v>
      </c>
      <c r="M35" s="3" t="s">
        <v>285</v>
      </c>
      <c r="N35" s="3" t="s">
        <v>31</v>
      </c>
      <c r="O35" s="12">
        <v>46226</v>
      </c>
      <c r="P35" s="3"/>
    </row>
    <row r="36" spans="1:16" ht="34.200000000000003">
      <c r="A36" s="3" t="s">
        <v>286</v>
      </c>
      <c r="B36" s="3" t="s">
        <v>287</v>
      </c>
      <c r="C36" s="3" t="s">
        <v>281</v>
      </c>
      <c r="D36" s="3" t="s">
        <v>288</v>
      </c>
      <c r="E36" s="3" t="s">
        <v>289</v>
      </c>
      <c r="F36" s="3" t="s">
        <v>119</v>
      </c>
      <c r="G36" s="16">
        <v>5</v>
      </c>
      <c r="H36" s="3" t="s">
        <v>60</v>
      </c>
      <c r="I36" s="3" t="s">
        <v>76</v>
      </c>
      <c r="J36" s="3" t="s">
        <v>140</v>
      </c>
      <c r="K36" s="3" t="s">
        <v>183</v>
      </c>
      <c r="L36" s="3" t="s">
        <v>284</v>
      </c>
      <c r="M36" s="3" t="s">
        <v>290</v>
      </c>
      <c r="N36" s="3" t="s">
        <v>31</v>
      </c>
      <c r="O36" s="12">
        <v>46254</v>
      </c>
      <c r="P36" s="3" t="s">
        <v>144</v>
      </c>
    </row>
    <row r="37" spans="1:16" ht="34.200000000000003">
      <c r="A37" s="3" t="s">
        <v>291</v>
      </c>
      <c r="B37" s="3" t="s">
        <v>292</v>
      </c>
      <c r="C37" s="3" t="s">
        <v>281</v>
      </c>
      <c r="D37" s="3" t="s">
        <v>293</v>
      </c>
      <c r="E37" s="3" t="s">
        <v>294</v>
      </c>
      <c r="F37" s="3" t="s">
        <v>119</v>
      </c>
      <c r="G37" s="16">
        <v>5</v>
      </c>
      <c r="H37" s="3" t="s">
        <v>60</v>
      </c>
      <c r="I37" s="3" t="s">
        <v>76</v>
      </c>
      <c r="J37" s="3" t="s">
        <v>140</v>
      </c>
      <c r="K37" s="3" t="s">
        <v>183</v>
      </c>
      <c r="L37" s="3" t="s">
        <v>104</v>
      </c>
      <c r="M37" s="3" t="s">
        <v>295</v>
      </c>
      <c r="N37" s="3" t="s">
        <v>31</v>
      </c>
      <c r="O37" s="12">
        <v>46254</v>
      </c>
      <c r="P37" s="3" t="s">
        <v>144</v>
      </c>
    </row>
    <row r="38" spans="1:16" ht="34.200000000000003">
      <c r="A38" s="3" t="s">
        <v>296</v>
      </c>
      <c r="B38" s="3" t="s">
        <v>297</v>
      </c>
      <c r="C38" s="3" t="s">
        <v>281</v>
      </c>
      <c r="D38" s="3" t="s">
        <v>298</v>
      </c>
      <c r="E38" s="3" t="s">
        <v>299</v>
      </c>
      <c r="F38" s="3" t="s">
        <v>119</v>
      </c>
      <c r="G38" s="16">
        <v>5</v>
      </c>
      <c r="H38" s="3" t="s">
        <v>60</v>
      </c>
      <c r="I38" s="3" t="s">
        <v>76</v>
      </c>
      <c r="J38" s="3" t="s">
        <v>140</v>
      </c>
      <c r="K38" s="3" t="s">
        <v>183</v>
      </c>
      <c r="L38" s="3" t="s">
        <v>104</v>
      </c>
      <c r="M38" s="3" t="s">
        <v>300</v>
      </c>
      <c r="N38" s="3" t="s">
        <v>31</v>
      </c>
      <c r="O38" s="12">
        <v>46254</v>
      </c>
      <c r="P38" s="3" t="s">
        <v>144</v>
      </c>
    </row>
    <row r="39" spans="1:16" ht="34.200000000000003">
      <c r="A39" s="3" t="s">
        <v>301</v>
      </c>
      <c r="B39" s="3" t="s">
        <v>302</v>
      </c>
      <c r="C39" s="3" t="s">
        <v>303</v>
      </c>
      <c r="D39" s="3" t="s">
        <v>304</v>
      </c>
      <c r="E39" s="3" t="s">
        <v>305</v>
      </c>
      <c r="F39" s="3" t="s">
        <v>119</v>
      </c>
      <c r="G39" s="16">
        <v>3</v>
      </c>
      <c r="H39" s="3" t="s">
        <v>60</v>
      </c>
      <c r="I39" s="3" t="s">
        <v>76</v>
      </c>
      <c r="J39" s="3" t="s">
        <v>140</v>
      </c>
      <c r="K39" s="3" t="s">
        <v>183</v>
      </c>
      <c r="L39" s="3" t="s">
        <v>104</v>
      </c>
      <c r="M39" s="3" t="s">
        <v>306</v>
      </c>
      <c r="N39" s="3" t="s">
        <v>31</v>
      </c>
      <c r="O39" s="12">
        <v>46254</v>
      </c>
      <c r="P39" s="3" t="s">
        <v>144</v>
      </c>
    </row>
    <row r="40" spans="1:16" ht="34.200000000000003">
      <c r="A40" s="3" t="s">
        <v>307</v>
      </c>
      <c r="B40" s="3" t="s">
        <v>308</v>
      </c>
      <c r="C40" s="3" t="s">
        <v>303</v>
      </c>
      <c r="D40" s="3" t="s">
        <v>309</v>
      </c>
      <c r="E40" s="3" t="s">
        <v>310</v>
      </c>
      <c r="F40" s="3" t="s">
        <v>119</v>
      </c>
      <c r="G40" s="16">
        <v>8</v>
      </c>
      <c r="H40" s="3" t="s">
        <v>60</v>
      </c>
      <c r="I40" s="3" t="s">
        <v>76</v>
      </c>
      <c r="J40" s="3" t="s">
        <v>140</v>
      </c>
      <c r="K40" s="3" t="s">
        <v>183</v>
      </c>
      <c r="L40" s="3" t="s">
        <v>104</v>
      </c>
      <c r="M40" s="3" t="s">
        <v>311</v>
      </c>
      <c r="N40" s="3" t="s">
        <v>31</v>
      </c>
      <c r="O40" s="12">
        <v>46254</v>
      </c>
      <c r="P40" s="3" t="s">
        <v>144</v>
      </c>
    </row>
    <row r="41" spans="1:16" ht="34.200000000000003">
      <c r="A41" s="3" t="s">
        <v>312</v>
      </c>
      <c r="B41" s="3" t="s">
        <v>313</v>
      </c>
      <c r="C41" s="3" t="s">
        <v>303</v>
      </c>
      <c r="D41" s="3" t="s">
        <v>314</v>
      </c>
      <c r="E41" s="3" t="s">
        <v>315</v>
      </c>
      <c r="F41" s="3" t="s">
        <v>119</v>
      </c>
      <c r="G41" s="16">
        <v>3</v>
      </c>
      <c r="H41" s="3" t="s">
        <v>60</v>
      </c>
      <c r="I41" s="3" t="s">
        <v>76</v>
      </c>
      <c r="J41" s="3" t="s">
        <v>140</v>
      </c>
      <c r="K41" s="3" t="s">
        <v>183</v>
      </c>
      <c r="L41" s="3" t="s">
        <v>104</v>
      </c>
      <c r="M41" s="3" t="s">
        <v>316</v>
      </c>
      <c r="N41" s="3" t="s">
        <v>31</v>
      </c>
      <c r="O41" s="12">
        <v>46254</v>
      </c>
      <c r="P41" s="3" t="s">
        <v>144</v>
      </c>
    </row>
    <row r="42" spans="1:16" ht="34.200000000000003">
      <c r="A42" s="3" t="s">
        <v>317</v>
      </c>
      <c r="B42" s="3" t="s">
        <v>318</v>
      </c>
      <c r="C42" s="3" t="s">
        <v>303</v>
      </c>
      <c r="D42" s="3" t="s">
        <v>319</v>
      </c>
      <c r="E42" s="3" t="s">
        <v>320</v>
      </c>
      <c r="F42" s="3" t="s">
        <v>119</v>
      </c>
      <c r="G42" s="16">
        <v>8</v>
      </c>
      <c r="H42" s="3" t="s">
        <v>60</v>
      </c>
      <c r="I42" s="3" t="s">
        <v>76</v>
      </c>
      <c r="J42" s="3" t="s">
        <v>140</v>
      </c>
      <c r="K42" s="3" t="s">
        <v>183</v>
      </c>
      <c r="L42" s="3" t="s">
        <v>104</v>
      </c>
      <c r="M42" s="3" t="s">
        <v>321</v>
      </c>
      <c r="N42" s="3" t="s">
        <v>31</v>
      </c>
      <c r="O42" s="12">
        <v>46254</v>
      </c>
      <c r="P42" s="3" t="s">
        <v>144</v>
      </c>
    </row>
    <row r="43" spans="1:16" ht="34.200000000000003">
      <c r="A43" s="3" t="s">
        <v>322</v>
      </c>
      <c r="B43" s="3"/>
      <c r="C43" s="3" t="s">
        <v>98</v>
      </c>
      <c r="D43" s="3" t="s">
        <v>323</v>
      </c>
      <c r="E43" s="3" t="s">
        <v>324</v>
      </c>
      <c r="F43" s="3" t="s">
        <v>101</v>
      </c>
      <c r="G43" s="16">
        <v>5</v>
      </c>
      <c r="H43" s="3" t="s">
        <v>55</v>
      </c>
      <c r="I43" s="3" t="s">
        <v>78</v>
      </c>
      <c r="J43" s="3" t="s">
        <v>111</v>
      </c>
      <c r="K43" s="3"/>
      <c r="L43" s="3" t="s">
        <v>104</v>
      </c>
      <c r="M43" s="3" t="s">
        <v>325</v>
      </c>
      <c r="N43" s="3" t="s">
        <v>326</v>
      </c>
      <c r="O43" s="12">
        <v>46226</v>
      </c>
      <c r="P43" s="3"/>
    </row>
    <row r="44" spans="1:16" ht="34.200000000000003">
      <c r="A44" s="3" t="s">
        <v>327</v>
      </c>
      <c r="B44" s="3"/>
      <c r="C44" s="3" t="s">
        <v>98</v>
      </c>
      <c r="D44" s="3" t="s">
        <v>328</v>
      </c>
      <c r="E44" s="3" t="s">
        <v>329</v>
      </c>
      <c r="F44" s="3" t="s">
        <v>101</v>
      </c>
      <c r="G44" s="16">
        <v>5</v>
      </c>
      <c r="H44" s="3" t="s">
        <v>55</v>
      </c>
      <c r="I44" s="3" t="s">
        <v>78</v>
      </c>
      <c r="J44" s="3" t="s">
        <v>111</v>
      </c>
      <c r="K44" s="3"/>
      <c r="L44" s="3" t="s">
        <v>104</v>
      </c>
      <c r="M44" s="3" t="s">
        <v>330</v>
      </c>
      <c r="N44" s="3" t="s">
        <v>331</v>
      </c>
      <c r="O44" s="12">
        <v>46226</v>
      </c>
      <c r="P44" s="3"/>
    </row>
    <row r="45" spans="1:16" ht="34.200000000000003">
      <c r="A45" s="3" t="s">
        <v>332</v>
      </c>
      <c r="B45" s="3"/>
      <c r="C45" s="3" t="s">
        <v>98</v>
      </c>
      <c r="D45" s="3" t="s">
        <v>333</v>
      </c>
      <c r="E45" s="3" t="s">
        <v>334</v>
      </c>
      <c r="F45" s="3" t="s">
        <v>101</v>
      </c>
      <c r="G45" s="16">
        <v>5</v>
      </c>
      <c r="H45" s="3" t="s">
        <v>55</v>
      </c>
      <c r="I45" s="3" t="s">
        <v>78</v>
      </c>
      <c r="J45" s="3" t="s">
        <v>111</v>
      </c>
      <c r="K45" s="3"/>
      <c r="L45" s="3" t="s">
        <v>104</v>
      </c>
      <c r="M45" s="3" t="s">
        <v>335</v>
      </c>
      <c r="N45" s="3" t="s">
        <v>336</v>
      </c>
      <c r="O45" s="12">
        <v>46226</v>
      </c>
      <c r="P45" s="3"/>
    </row>
    <row r="46" spans="1:16" ht="34.200000000000003">
      <c r="A46" s="3" t="s">
        <v>337</v>
      </c>
      <c r="B46" s="3"/>
      <c r="C46" s="3" t="s">
        <v>303</v>
      </c>
      <c r="D46" s="3" t="s">
        <v>338</v>
      </c>
      <c r="E46" s="3" t="s">
        <v>339</v>
      </c>
      <c r="F46" s="3" t="s">
        <v>119</v>
      </c>
      <c r="G46" s="16">
        <v>3</v>
      </c>
      <c r="H46" s="3" t="s">
        <v>55</v>
      </c>
      <c r="I46" s="3" t="s">
        <v>78</v>
      </c>
      <c r="J46" s="3" t="s">
        <v>133</v>
      </c>
      <c r="K46" s="3"/>
      <c r="L46" s="3" t="s">
        <v>104</v>
      </c>
      <c r="M46" s="3" t="s">
        <v>340</v>
      </c>
      <c r="N46" s="3" t="s">
        <v>341</v>
      </c>
      <c r="O46" s="12">
        <v>46226</v>
      </c>
      <c r="P46" s="3"/>
    </row>
    <row r="47" spans="1:16" ht="34.200000000000003">
      <c r="A47" s="3" t="s">
        <v>342</v>
      </c>
      <c r="B47" s="3"/>
      <c r="C47" s="3" t="s">
        <v>187</v>
      </c>
      <c r="D47" s="3" t="s">
        <v>343</v>
      </c>
      <c r="E47" s="3" t="s">
        <v>344</v>
      </c>
      <c r="F47" s="3" t="s">
        <v>119</v>
      </c>
      <c r="G47" s="16">
        <v>5</v>
      </c>
      <c r="H47" s="3" t="s">
        <v>55</v>
      </c>
      <c r="I47" s="3" t="s">
        <v>78</v>
      </c>
      <c r="J47" s="3" t="s">
        <v>111</v>
      </c>
      <c r="K47" s="3"/>
      <c r="L47" s="3" t="s">
        <v>345</v>
      </c>
      <c r="M47" s="3" t="s">
        <v>346</v>
      </c>
      <c r="N47" s="3" t="s">
        <v>347</v>
      </c>
      <c r="O47" s="12">
        <v>46226</v>
      </c>
      <c r="P47" s="3"/>
    </row>
    <row r="48" spans="1:16" ht="34.200000000000003">
      <c r="A48" s="3" t="s">
        <v>348</v>
      </c>
      <c r="B48" s="3"/>
      <c r="C48" s="3" t="s">
        <v>187</v>
      </c>
      <c r="D48" s="3" t="s">
        <v>349</v>
      </c>
      <c r="E48" s="3" t="s">
        <v>350</v>
      </c>
      <c r="F48" s="3" t="s">
        <v>119</v>
      </c>
      <c r="G48" s="16">
        <v>5</v>
      </c>
      <c r="H48" s="3" t="s">
        <v>55</v>
      </c>
      <c r="I48" s="3" t="s">
        <v>78</v>
      </c>
      <c r="J48" s="3" t="s">
        <v>111</v>
      </c>
      <c r="K48" s="3"/>
      <c r="L48" s="3" t="s">
        <v>345</v>
      </c>
      <c r="M48" s="3" t="s">
        <v>351</v>
      </c>
      <c r="N48" s="3" t="s">
        <v>352</v>
      </c>
      <c r="O48" s="12">
        <v>46226</v>
      </c>
      <c r="P48" s="3"/>
    </row>
    <row r="49" spans="1:16" ht="34.200000000000003">
      <c r="A49" s="3" t="s">
        <v>353</v>
      </c>
      <c r="B49" s="3"/>
      <c r="C49" s="3" t="s">
        <v>281</v>
      </c>
      <c r="D49" s="3" t="s">
        <v>354</v>
      </c>
      <c r="E49" s="3" t="s">
        <v>355</v>
      </c>
      <c r="F49" s="3" t="s">
        <v>119</v>
      </c>
      <c r="G49" s="16">
        <v>5</v>
      </c>
      <c r="H49" s="3" t="s">
        <v>55</v>
      </c>
      <c r="I49" s="3" t="s">
        <v>78</v>
      </c>
      <c r="J49" s="3" t="s">
        <v>111</v>
      </c>
      <c r="K49" s="3"/>
      <c r="L49" s="3" t="s">
        <v>284</v>
      </c>
      <c r="M49" s="3" t="s">
        <v>356</v>
      </c>
      <c r="N49" s="3" t="s">
        <v>357</v>
      </c>
      <c r="O49" s="12">
        <v>46226</v>
      </c>
      <c r="P49" s="3"/>
    </row>
    <row r="50" spans="1:16" ht="34.200000000000003">
      <c r="A50" s="3" t="s">
        <v>358</v>
      </c>
      <c r="B50" s="3"/>
      <c r="C50" s="3" t="s">
        <v>281</v>
      </c>
      <c r="D50" s="3" t="s">
        <v>359</v>
      </c>
      <c r="E50" s="3" t="s">
        <v>360</v>
      </c>
      <c r="F50" s="3" t="s">
        <v>119</v>
      </c>
      <c r="G50" s="16">
        <v>5</v>
      </c>
      <c r="H50" s="3" t="s">
        <v>55</v>
      </c>
      <c r="I50" s="3" t="s">
        <v>78</v>
      </c>
      <c r="J50" s="3" t="s">
        <v>111</v>
      </c>
      <c r="K50" s="3"/>
      <c r="L50" s="3" t="s">
        <v>284</v>
      </c>
      <c r="M50" s="3" t="s">
        <v>361</v>
      </c>
      <c r="N50" s="3" t="s">
        <v>362</v>
      </c>
      <c r="O50" s="12">
        <v>46226</v>
      </c>
      <c r="P50" s="3"/>
    </row>
    <row r="51" spans="1:16" ht="34.200000000000003">
      <c r="A51" s="3" t="s">
        <v>363</v>
      </c>
      <c r="B51" s="3"/>
      <c r="C51" s="3" t="s">
        <v>364</v>
      </c>
      <c r="D51" s="3" t="s">
        <v>365</v>
      </c>
      <c r="E51" s="3" t="s">
        <v>366</v>
      </c>
      <c r="F51" s="3" t="s">
        <v>101</v>
      </c>
      <c r="G51" s="16">
        <v>5</v>
      </c>
      <c r="H51" s="3" t="s">
        <v>55</v>
      </c>
      <c r="I51" s="3" t="s">
        <v>78</v>
      </c>
      <c r="J51" s="3" t="s">
        <v>72</v>
      </c>
      <c r="K51" s="3"/>
      <c r="L51" s="3" t="s">
        <v>104</v>
      </c>
      <c r="M51" s="3" t="s">
        <v>367</v>
      </c>
      <c r="N51" s="3" t="s">
        <v>368</v>
      </c>
      <c r="O51" s="12">
        <v>46226</v>
      </c>
      <c r="P51" s="3"/>
    </row>
    <row r="52" spans="1:16" ht="34.200000000000003">
      <c r="A52" s="3" t="s">
        <v>369</v>
      </c>
      <c r="B52" s="3"/>
      <c r="C52" s="3" t="s">
        <v>364</v>
      </c>
      <c r="D52" s="3" t="s">
        <v>370</v>
      </c>
      <c r="E52" s="3" t="s">
        <v>371</v>
      </c>
      <c r="F52" s="3" t="s">
        <v>101</v>
      </c>
      <c r="G52" s="16">
        <v>5</v>
      </c>
      <c r="H52" s="3" t="s">
        <v>55</v>
      </c>
      <c r="I52" s="3" t="s">
        <v>78</v>
      </c>
      <c r="J52" s="3" t="s">
        <v>72</v>
      </c>
      <c r="K52" s="3"/>
      <c r="L52" s="3" t="s">
        <v>104</v>
      </c>
      <c r="M52" s="3" t="s">
        <v>372</v>
      </c>
      <c r="N52" s="3" t="s">
        <v>373</v>
      </c>
      <c r="O52" s="12">
        <v>46226</v>
      </c>
      <c r="P52" s="3"/>
    </row>
    <row r="53" spans="1:16" ht="34.200000000000003">
      <c r="A53" s="3" t="s">
        <v>374</v>
      </c>
      <c r="B53" s="3"/>
      <c r="C53" s="3" t="s">
        <v>364</v>
      </c>
      <c r="D53" s="3" t="s">
        <v>375</v>
      </c>
      <c r="E53" s="3" t="s">
        <v>376</v>
      </c>
      <c r="F53" s="3" t="s">
        <v>101</v>
      </c>
      <c r="G53" s="16">
        <v>5</v>
      </c>
      <c r="H53" s="3" t="s">
        <v>55</v>
      </c>
      <c r="I53" s="3" t="s">
        <v>78</v>
      </c>
      <c r="J53" s="3" t="s">
        <v>377</v>
      </c>
      <c r="K53" s="3"/>
      <c r="L53" s="3" t="s">
        <v>104</v>
      </c>
      <c r="M53" s="3" t="s">
        <v>378</v>
      </c>
      <c r="N53" s="3" t="s">
        <v>379</v>
      </c>
      <c r="O53" s="12">
        <v>46226</v>
      </c>
      <c r="P53" s="3"/>
    </row>
    <row r="54" spans="1:16" ht="34.200000000000003">
      <c r="A54" s="3" t="s">
        <v>380</v>
      </c>
      <c r="B54" s="3"/>
      <c r="C54" s="3" t="s">
        <v>364</v>
      </c>
      <c r="D54" s="3" t="s">
        <v>381</v>
      </c>
      <c r="E54" s="3" t="s">
        <v>382</v>
      </c>
      <c r="F54" s="3" t="s">
        <v>101</v>
      </c>
      <c r="G54" s="16">
        <v>5</v>
      </c>
      <c r="H54" s="3" t="s">
        <v>55</v>
      </c>
      <c r="I54" s="3" t="s">
        <v>78</v>
      </c>
      <c r="J54" s="3" t="s">
        <v>377</v>
      </c>
      <c r="K54" s="3"/>
      <c r="L54" s="3" t="s">
        <v>104</v>
      </c>
      <c r="M54" s="3" t="s">
        <v>383</v>
      </c>
      <c r="N54" s="3" t="s">
        <v>384</v>
      </c>
      <c r="O54" s="12">
        <v>46226</v>
      </c>
      <c r="P54" s="3"/>
    </row>
  </sheetData>
  <mergeCells count="1">
    <mergeCell ref="A1:P2"/>
  </mergeCells>
  <conditionalFormatting sqref="I5:J54">
    <cfRule type="containsText" dxfId="17" priority="1" operator="containsText" text="Hoàn thành"/>
    <cfRule type="containsText" dxfId="16" priority="3" operator="containsText" text="Đã hỗ trợ"/>
    <cfRule type="containsText" dxfId="15" priority="4" operator="containsText" text="Sơ khai"/>
    <cfRule type="containsText" dxfId="14" priority="6" operator="containsText" text="Chưa xác minh"/>
    <cfRule type="containsText" dxfId="13" priority="7" operator="containsText" text="Cần làm"/>
    <cfRule type="containsText" dxfId="12" priority="9" operator="containsText" text="Chưa có sản phẩm"/>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4"/>
  <sheetViews>
    <sheetView workbookViewId="0">
      <selection sqref="A1:P2"/>
    </sheetView>
  </sheetViews>
  <sheetFormatPr defaultRowHeight="13.8"/>
  <cols>
    <col min="1" max="2" width="9" customWidth="1"/>
    <col min="3" max="3" width="10" customWidth="1"/>
    <col min="4" max="4" width="32" customWidth="1"/>
    <col min="5" max="5" width="46" customWidth="1"/>
    <col min="6" max="6" width="12" customWidth="1"/>
    <col min="7" max="7" width="9" customWidth="1"/>
    <col min="8" max="8" width="12" customWidth="1"/>
    <col min="9" max="9" width="18" customWidth="1"/>
    <col min="10" max="10" width="29" customWidth="1"/>
    <col min="11" max="11" width="24" customWidth="1"/>
    <col min="12" max="12" width="40" customWidth="1"/>
    <col min="13" max="13" width="52" customWidth="1"/>
    <col min="14" max="14" width="35" customWidth="1"/>
    <col min="15" max="15" width="16" customWidth="1"/>
    <col min="16" max="16" width="34" customWidth="1"/>
  </cols>
  <sheetData>
    <row r="1" spans="1:16" ht="43.2" customHeight="1">
      <c r="A1" s="17" t="s">
        <v>385</v>
      </c>
      <c r="B1" s="17"/>
      <c r="C1" s="17"/>
      <c r="D1" s="17"/>
      <c r="E1" s="17"/>
      <c r="F1" s="17"/>
      <c r="G1" s="17"/>
      <c r="H1" s="17"/>
      <c r="I1" s="17"/>
      <c r="J1" s="17"/>
      <c r="K1" s="17"/>
      <c r="L1" s="17"/>
      <c r="M1" s="17"/>
      <c r="N1" s="17"/>
      <c r="O1" s="17"/>
      <c r="P1" s="17"/>
    </row>
    <row r="2" spans="1:16" ht="43.2" customHeight="1">
      <c r="A2" s="17"/>
      <c r="B2" s="17"/>
      <c r="C2" s="17"/>
      <c r="D2" s="17"/>
      <c r="E2" s="17"/>
      <c r="F2" s="17"/>
      <c r="G2" s="17"/>
      <c r="H2" s="17"/>
      <c r="I2" s="17"/>
      <c r="J2" s="17"/>
      <c r="K2" s="17"/>
      <c r="L2" s="17"/>
      <c r="M2" s="17"/>
      <c r="N2" s="17"/>
      <c r="O2" s="17"/>
      <c r="P2" s="17"/>
    </row>
    <row r="4" spans="1:16" ht="25.65" customHeight="1">
      <c r="A4" s="1" t="s">
        <v>83</v>
      </c>
      <c r="B4" s="1" t="s">
        <v>31</v>
      </c>
      <c r="C4" s="1" t="s">
        <v>84</v>
      </c>
      <c r="D4" s="1" t="s">
        <v>85</v>
      </c>
      <c r="E4" s="1" t="s">
        <v>86</v>
      </c>
      <c r="F4" s="1" t="s">
        <v>87</v>
      </c>
      <c r="G4" s="1" t="s">
        <v>88</v>
      </c>
      <c r="H4" s="1" t="s">
        <v>89</v>
      </c>
      <c r="I4" s="1" t="s">
        <v>90</v>
      </c>
      <c r="J4" s="1" t="s">
        <v>91</v>
      </c>
      <c r="K4" s="1" t="s">
        <v>92</v>
      </c>
      <c r="L4" s="1" t="s">
        <v>93</v>
      </c>
      <c r="M4" s="1" t="s">
        <v>94</v>
      </c>
      <c r="N4" s="1" t="s">
        <v>4</v>
      </c>
      <c r="O4" s="1" t="s">
        <v>95</v>
      </c>
      <c r="P4" s="1" t="s">
        <v>54</v>
      </c>
    </row>
    <row r="5" spans="1:16" ht="34.200000000000003">
      <c r="A5" s="2" t="s">
        <v>96</v>
      </c>
      <c r="B5" s="2" t="s">
        <v>97</v>
      </c>
      <c r="C5" s="2" t="s">
        <v>98</v>
      </c>
      <c r="D5" s="2" t="s">
        <v>99</v>
      </c>
      <c r="E5" s="2" t="s">
        <v>100</v>
      </c>
      <c r="F5" s="2" t="s">
        <v>101</v>
      </c>
      <c r="G5" s="15">
        <v>5</v>
      </c>
      <c r="H5" s="2" t="s">
        <v>55</v>
      </c>
      <c r="I5" s="2" t="s">
        <v>72</v>
      </c>
      <c r="J5" s="2" t="s">
        <v>102</v>
      </c>
      <c r="K5" s="2" t="s">
        <v>103</v>
      </c>
      <c r="L5" s="2" t="s">
        <v>104</v>
      </c>
      <c r="M5" s="2" t="s">
        <v>105</v>
      </c>
      <c r="N5" s="2" t="s">
        <v>31</v>
      </c>
      <c r="O5" s="11">
        <v>46226</v>
      </c>
      <c r="P5" s="2"/>
    </row>
    <row r="6" spans="1:16" ht="34.200000000000003">
      <c r="A6" s="3" t="s">
        <v>106</v>
      </c>
      <c r="B6" s="3" t="s">
        <v>107</v>
      </c>
      <c r="C6" s="3" t="s">
        <v>98</v>
      </c>
      <c r="D6" s="3" t="s">
        <v>108</v>
      </c>
      <c r="E6" s="3" t="s">
        <v>109</v>
      </c>
      <c r="F6" s="3" t="s">
        <v>110</v>
      </c>
      <c r="G6" s="16">
        <v>5</v>
      </c>
      <c r="H6" s="3" t="s">
        <v>55</v>
      </c>
      <c r="I6" s="3" t="s">
        <v>72</v>
      </c>
      <c r="J6" s="3" t="s">
        <v>111</v>
      </c>
      <c r="K6" s="3" t="s">
        <v>112</v>
      </c>
      <c r="L6" s="3" t="s">
        <v>113</v>
      </c>
      <c r="M6" s="3" t="s">
        <v>114</v>
      </c>
      <c r="N6" s="3" t="s">
        <v>31</v>
      </c>
      <c r="O6" s="12">
        <v>46226</v>
      </c>
      <c r="P6" s="3"/>
    </row>
    <row r="7" spans="1:16" ht="34.200000000000003">
      <c r="A7" s="3" t="s">
        <v>115</v>
      </c>
      <c r="B7" s="3" t="s">
        <v>116</v>
      </c>
      <c r="C7" s="3" t="s">
        <v>98</v>
      </c>
      <c r="D7" s="3" t="s">
        <v>117</v>
      </c>
      <c r="E7" s="3" t="s">
        <v>118</v>
      </c>
      <c r="F7" s="3" t="s">
        <v>119</v>
      </c>
      <c r="G7" s="16">
        <v>5</v>
      </c>
      <c r="H7" s="3" t="s">
        <v>55</v>
      </c>
      <c r="I7" s="3" t="s">
        <v>72</v>
      </c>
      <c r="J7" s="3" t="s">
        <v>111</v>
      </c>
      <c r="K7" s="3" t="s">
        <v>120</v>
      </c>
      <c r="L7" s="3" t="s">
        <v>121</v>
      </c>
      <c r="M7" s="3" t="s">
        <v>122</v>
      </c>
      <c r="N7" s="3" t="s">
        <v>31</v>
      </c>
      <c r="O7" s="12">
        <v>46226</v>
      </c>
      <c r="P7" s="3"/>
    </row>
    <row r="8" spans="1:16" ht="34.200000000000003">
      <c r="A8" s="3" t="s">
        <v>123</v>
      </c>
      <c r="B8" s="3" t="s">
        <v>124</v>
      </c>
      <c r="C8" s="3" t="s">
        <v>98</v>
      </c>
      <c r="D8" s="3" t="s">
        <v>125</v>
      </c>
      <c r="E8" s="3" t="s">
        <v>126</v>
      </c>
      <c r="F8" s="3" t="s">
        <v>119</v>
      </c>
      <c r="G8" s="16">
        <v>5</v>
      </c>
      <c r="H8" s="3" t="s">
        <v>55</v>
      </c>
      <c r="I8" s="3" t="s">
        <v>72</v>
      </c>
      <c r="J8" s="3" t="s">
        <v>111</v>
      </c>
      <c r="K8" s="3" t="s">
        <v>120</v>
      </c>
      <c r="L8" s="3" t="s">
        <v>121</v>
      </c>
      <c r="M8" s="3" t="s">
        <v>127</v>
      </c>
      <c r="N8" s="3" t="s">
        <v>31</v>
      </c>
      <c r="O8" s="12">
        <v>46226</v>
      </c>
      <c r="P8" s="3"/>
    </row>
    <row r="9" spans="1:16" ht="34.200000000000003">
      <c r="A9" s="3" t="s">
        <v>128</v>
      </c>
      <c r="B9" s="3" t="s">
        <v>129</v>
      </c>
      <c r="C9" s="3" t="s">
        <v>130</v>
      </c>
      <c r="D9" s="3" t="s">
        <v>131</v>
      </c>
      <c r="E9" s="3" t="s">
        <v>132</v>
      </c>
      <c r="F9" s="3" t="s">
        <v>101</v>
      </c>
      <c r="G9" s="16">
        <v>3</v>
      </c>
      <c r="H9" s="3" t="s">
        <v>55</v>
      </c>
      <c r="I9" s="3" t="s">
        <v>72</v>
      </c>
      <c r="J9" s="3" t="s">
        <v>133</v>
      </c>
      <c r="K9" s="3" t="s">
        <v>112</v>
      </c>
      <c r="L9" s="3" t="s">
        <v>104</v>
      </c>
      <c r="M9" s="3" t="s">
        <v>134</v>
      </c>
      <c r="N9" s="3" t="s">
        <v>135</v>
      </c>
      <c r="O9" s="12">
        <v>46226</v>
      </c>
      <c r="P9" s="3"/>
    </row>
    <row r="10" spans="1:16" ht="34.200000000000003">
      <c r="A10" s="3" t="s">
        <v>161</v>
      </c>
      <c r="B10" s="3" t="s">
        <v>162</v>
      </c>
      <c r="C10" s="3" t="s">
        <v>152</v>
      </c>
      <c r="D10" s="3" t="s">
        <v>163</v>
      </c>
      <c r="E10" s="3" t="s">
        <v>164</v>
      </c>
      <c r="F10" s="3" t="s">
        <v>110</v>
      </c>
      <c r="G10" s="16">
        <v>8</v>
      </c>
      <c r="H10" s="3" t="s">
        <v>55</v>
      </c>
      <c r="I10" s="3" t="s">
        <v>72</v>
      </c>
      <c r="J10" s="3" t="s">
        <v>165</v>
      </c>
      <c r="K10" s="3" t="s">
        <v>103</v>
      </c>
      <c r="L10" s="3" t="s">
        <v>104</v>
      </c>
      <c r="M10" s="3" t="s">
        <v>166</v>
      </c>
      <c r="N10" s="3" t="s">
        <v>31</v>
      </c>
      <c r="O10" s="12">
        <v>46226</v>
      </c>
      <c r="P10" s="3"/>
    </row>
    <row r="11" spans="1:16" ht="34.200000000000003">
      <c r="A11" s="3" t="s">
        <v>167</v>
      </c>
      <c r="B11" s="3" t="s">
        <v>168</v>
      </c>
      <c r="C11" s="3" t="s">
        <v>169</v>
      </c>
      <c r="D11" s="3" t="s">
        <v>170</v>
      </c>
      <c r="E11" s="3" t="s">
        <v>171</v>
      </c>
      <c r="F11" s="3" t="s">
        <v>119</v>
      </c>
      <c r="G11" s="16">
        <v>3</v>
      </c>
      <c r="H11" s="3" t="s">
        <v>55</v>
      </c>
      <c r="I11" s="3" t="s">
        <v>72</v>
      </c>
      <c r="J11" s="3" t="s">
        <v>172</v>
      </c>
      <c r="K11" s="3" t="s">
        <v>141</v>
      </c>
      <c r="L11" s="3" t="s">
        <v>142</v>
      </c>
      <c r="M11" s="3" t="s">
        <v>173</v>
      </c>
      <c r="N11" s="3" t="s">
        <v>31</v>
      </c>
      <c r="O11" s="12">
        <v>46226</v>
      </c>
      <c r="P11" s="3"/>
    </row>
    <row r="12" spans="1:16" ht="34.200000000000003">
      <c r="A12" s="3" t="s">
        <v>174</v>
      </c>
      <c r="B12" s="3" t="s">
        <v>175</v>
      </c>
      <c r="C12" s="3" t="s">
        <v>169</v>
      </c>
      <c r="D12" s="3" t="s">
        <v>176</v>
      </c>
      <c r="E12" s="3" t="s">
        <v>177</v>
      </c>
      <c r="F12" s="3" t="s">
        <v>101</v>
      </c>
      <c r="G12" s="16">
        <v>3</v>
      </c>
      <c r="H12" s="3" t="s">
        <v>55</v>
      </c>
      <c r="I12" s="3" t="s">
        <v>72</v>
      </c>
      <c r="J12" s="3" t="s">
        <v>172</v>
      </c>
      <c r="K12" s="3" t="s">
        <v>103</v>
      </c>
      <c r="L12" s="3" t="s">
        <v>104</v>
      </c>
      <c r="M12" s="3" t="s">
        <v>178</v>
      </c>
      <c r="N12" s="3" t="s">
        <v>31</v>
      </c>
      <c r="O12" s="12">
        <v>46226</v>
      </c>
      <c r="P12" s="3"/>
    </row>
    <row r="13" spans="1:16" ht="34.200000000000003">
      <c r="A13" s="3" t="s">
        <v>185</v>
      </c>
      <c r="B13" s="3" t="s">
        <v>186</v>
      </c>
      <c r="C13" s="3" t="s">
        <v>187</v>
      </c>
      <c r="D13" s="3" t="s">
        <v>188</v>
      </c>
      <c r="E13" s="3" t="s">
        <v>189</v>
      </c>
      <c r="F13" s="3" t="s">
        <v>119</v>
      </c>
      <c r="G13" s="16">
        <v>5</v>
      </c>
      <c r="H13" s="3" t="s">
        <v>55</v>
      </c>
      <c r="I13" s="3" t="s">
        <v>76</v>
      </c>
      <c r="J13" s="3" t="s">
        <v>172</v>
      </c>
      <c r="K13" s="3" t="s">
        <v>183</v>
      </c>
      <c r="L13" s="3" t="s">
        <v>104</v>
      </c>
      <c r="M13" s="3" t="s">
        <v>190</v>
      </c>
      <c r="N13" s="3" t="s">
        <v>31</v>
      </c>
      <c r="O13" s="12">
        <v>46226</v>
      </c>
      <c r="P13" s="3"/>
    </row>
    <row r="14" spans="1:16" ht="34.200000000000003">
      <c r="A14" s="3" t="s">
        <v>191</v>
      </c>
      <c r="B14" s="3" t="s">
        <v>192</v>
      </c>
      <c r="C14" s="3" t="s">
        <v>187</v>
      </c>
      <c r="D14" s="3" t="s">
        <v>193</v>
      </c>
      <c r="E14" s="3" t="s">
        <v>194</v>
      </c>
      <c r="F14" s="3" t="s">
        <v>101</v>
      </c>
      <c r="G14" s="16">
        <v>5</v>
      </c>
      <c r="H14" s="3" t="s">
        <v>55</v>
      </c>
      <c r="I14" s="3" t="s">
        <v>72</v>
      </c>
      <c r="J14" s="3" t="s">
        <v>102</v>
      </c>
      <c r="K14" s="3" t="s">
        <v>103</v>
      </c>
      <c r="L14" s="3" t="s">
        <v>104</v>
      </c>
      <c r="M14" s="3" t="s">
        <v>195</v>
      </c>
      <c r="N14" s="3" t="s">
        <v>31</v>
      </c>
      <c r="O14" s="12">
        <v>46226</v>
      </c>
      <c r="P14" s="3"/>
    </row>
    <row r="15" spans="1:16" ht="34.200000000000003">
      <c r="A15" s="3" t="s">
        <v>196</v>
      </c>
      <c r="B15" s="3" t="s">
        <v>197</v>
      </c>
      <c r="C15" s="3" t="s">
        <v>187</v>
      </c>
      <c r="D15" s="3" t="s">
        <v>198</v>
      </c>
      <c r="E15" s="3" t="s">
        <v>199</v>
      </c>
      <c r="F15" s="3" t="s">
        <v>119</v>
      </c>
      <c r="G15" s="16">
        <v>5</v>
      </c>
      <c r="H15" s="3" t="s">
        <v>55</v>
      </c>
      <c r="I15" s="3" t="s">
        <v>72</v>
      </c>
      <c r="J15" s="3" t="s">
        <v>200</v>
      </c>
      <c r="K15" s="3" t="s">
        <v>103</v>
      </c>
      <c r="L15" s="3" t="s">
        <v>104</v>
      </c>
      <c r="M15" s="3" t="s">
        <v>201</v>
      </c>
      <c r="N15" s="3" t="s">
        <v>31</v>
      </c>
      <c r="O15" s="12">
        <v>46226</v>
      </c>
      <c r="P15" s="3"/>
    </row>
    <row r="16" spans="1:16" ht="34.200000000000003">
      <c r="A16" s="3" t="s">
        <v>202</v>
      </c>
      <c r="B16" s="3" t="s">
        <v>203</v>
      </c>
      <c r="C16" s="3" t="s">
        <v>187</v>
      </c>
      <c r="D16" s="3" t="s">
        <v>204</v>
      </c>
      <c r="E16" s="3" t="s">
        <v>205</v>
      </c>
      <c r="F16" s="3" t="s">
        <v>119</v>
      </c>
      <c r="G16" s="16">
        <v>5</v>
      </c>
      <c r="H16" s="3" t="s">
        <v>55</v>
      </c>
      <c r="I16" s="3" t="s">
        <v>74</v>
      </c>
      <c r="J16" s="3" t="s">
        <v>206</v>
      </c>
      <c r="K16" s="3" t="s">
        <v>120</v>
      </c>
      <c r="L16" s="3" t="s">
        <v>121</v>
      </c>
      <c r="M16" s="3" t="s">
        <v>207</v>
      </c>
      <c r="N16" s="3" t="s">
        <v>31</v>
      </c>
      <c r="O16" s="12">
        <v>46226</v>
      </c>
      <c r="P16" s="3"/>
    </row>
    <row r="17" spans="1:16" ht="34.200000000000003">
      <c r="A17" s="3" t="s">
        <v>208</v>
      </c>
      <c r="B17" s="3" t="s">
        <v>209</v>
      </c>
      <c r="C17" s="3" t="s">
        <v>187</v>
      </c>
      <c r="D17" s="3" t="s">
        <v>210</v>
      </c>
      <c r="E17" s="3" t="s">
        <v>211</v>
      </c>
      <c r="F17" s="3" t="s">
        <v>110</v>
      </c>
      <c r="G17" s="16">
        <v>5</v>
      </c>
      <c r="H17" s="3" t="s">
        <v>55</v>
      </c>
      <c r="I17" s="3" t="s">
        <v>76</v>
      </c>
      <c r="J17" s="3" t="s">
        <v>29</v>
      </c>
      <c r="K17" s="3" t="s">
        <v>183</v>
      </c>
      <c r="L17" s="3" t="s">
        <v>104</v>
      </c>
      <c r="M17" s="3" t="s">
        <v>212</v>
      </c>
      <c r="N17" s="3" t="s">
        <v>31</v>
      </c>
      <c r="O17" s="12">
        <v>46226</v>
      </c>
      <c r="P17" s="3"/>
    </row>
    <row r="18" spans="1:16" ht="34.200000000000003">
      <c r="A18" s="3" t="s">
        <v>213</v>
      </c>
      <c r="B18" s="3" t="s">
        <v>214</v>
      </c>
      <c r="C18" s="3" t="s">
        <v>215</v>
      </c>
      <c r="D18" s="3" t="s">
        <v>216</v>
      </c>
      <c r="E18" s="3" t="s">
        <v>217</v>
      </c>
      <c r="F18" s="3" t="s">
        <v>110</v>
      </c>
      <c r="G18" s="16">
        <v>3</v>
      </c>
      <c r="H18" s="3" t="s">
        <v>55</v>
      </c>
      <c r="I18" s="3" t="s">
        <v>74</v>
      </c>
      <c r="J18" s="3" t="s">
        <v>172</v>
      </c>
      <c r="K18" s="3" t="s">
        <v>120</v>
      </c>
      <c r="L18" s="3" t="s">
        <v>121</v>
      </c>
      <c r="M18" s="3" t="s">
        <v>218</v>
      </c>
      <c r="N18" s="3" t="s">
        <v>31</v>
      </c>
      <c r="O18" s="12">
        <v>46226</v>
      </c>
      <c r="P18" s="3"/>
    </row>
    <row r="19" spans="1:16" ht="34.200000000000003">
      <c r="A19" s="3" t="s">
        <v>219</v>
      </c>
      <c r="B19" s="3" t="s">
        <v>220</v>
      </c>
      <c r="C19" s="3" t="s">
        <v>215</v>
      </c>
      <c r="D19" s="3" t="s">
        <v>221</v>
      </c>
      <c r="E19" s="3" t="s">
        <v>222</v>
      </c>
      <c r="F19" s="3" t="s">
        <v>119</v>
      </c>
      <c r="G19" s="16">
        <v>3</v>
      </c>
      <c r="H19" s="3" t="s">
        <v>55</v>
      </c>
      <c r="I19" s="3" t="s">
        <v>76</v>
      </c>
      <c r="J19" s="3" t="s">
        <v>223</v>
      </c>
      <c r="K19" s="3" t="s">
        <v>183</v>
      </c>
      <c r="L19" s="3" t="s">
        <v>104</v>
      </c>
      <c r="M19" s="3" t="s">
        <v>224</v>
      </c>
      <c r="N19" s="3" t="s">
        <v>31</v>
      </c>
      <c r="O19" s="12">
        <v>46226</v>
      </c>
      <c r="P19" s="3"/>
    </row>
    <row r="20" spans="1:16" ht="34.200000000000003">
      <c r="A20" s="3" t="s">
        <v>225</v>
      </c>
      <c r="B20" s="3" t="s">
        <v>226</v>
      </c>
      <c r="C20" s="3" t="s">
        <v>227</v>
      </c>
      <c r="D20" s="3" t="s">
        <v>228</v>
      </c>
      <c r="E20" s="3" t="s">
        <v>229</v>
      </c>
      <c r="F20" s="3" t="s">
        <v>119</v>
      </c>
      <c r="G20" s="16">
        <v>3</v>
      </c>
      <c r="H20" s="3" t="s">
        <v>55</v>
      </c>
      <c r="I20" s="3" t="s">
        <v>76</v>
      </c>
      <c r="J20" s="3" t="s">
        <v>223</v>
      </c>
      <c r="K20" s="3" t="s">
        <v>183</v>
      </c>
      <c r="L20" s="3" t="s">
        <v>104</v>
      </c>
      <c r="M20" s="3" t="s">
        <v>230</v>
      </c>
      <c r="N20" s="3" t="s">
        <v>31</v>
      </c>
      <c r="O20" s="12">
        <v>46226</v>
      </c>
      <c r="P20" s="3"/>
    </row>
    <row r="21" spans="1:16" ht="34.200000000000003">
      <c r="A21" s="3" t="s">
        <v>231</v>
      </c>
      <c r="B21" s="3" t="s">
        <v>232</v>
      </c>
      <c r="C21" s="3" t="s">
        <v>227</v>
      </c>
      <c r="D21" s="3" t="s">
        <v>233</v>
      </c>
      <c r="E21" s="3" t="s">
        <v>234</v>
      </c>
      <c r="F21" s="3" t="s">
        <v>110</v>
      </c>
      <c r="G21" s="16">
        <v>3</v>
      </c>
      <c r="H21" s="3" t="s">
        <v>55</v>
      </c>
      <c r="I21" s="3" t="s">
        <v>72</v>
      </c>
      <c r="J21" s="3" t="s">
        <v>235</v>
      </c>
      <c r="K21" s="3" t="s">
        <v>103</v>
      </c>
      <c r="L21" s="3" t="s">
        <v>104</v>
      </c>
      <c r="M21" s="3" t="s">
        <v>236</v>
      </c>
      <c r="N21" s="3" t="s">
        <v>31</v>
      </c>
      <c r="O21" s="12">
        <v>46226</v>
      </c>
      <c r="P21" s="3"/>
    </row>
    <row r="22" spans="1:16" ht="34.200000000000003">
      <c r="A22" s="3" t="s">
        <v>279</v>
      </c>
      <c r="B22" s="3" t="s">
        <v>280</v>
      </c>
      <c r="C22" s="3" t="s">
        <v>281</v>
      </c>
      <c r="D22" s="3" t="s">
        <v>282</v>
      </c>
      <c r="E22" s="3" t="s">
        <v>283</v>
      </c>
      <c r="F22" s="3" t="s">
        <v>119</v>
      </c>
      <c r="G22" s="16">
        <v>8</v>
      </c>
      <c r="H22" s="3" t="s">
        <v>55</v>
      </c>
      <c r="I22" s="3" t="s">
        <v>76</v>
      </c>
      <c r="J22" s="3" t="s">
        <v>172</v>
      </c>
      <c r="K22" s="3" t="s">
        <v>183</v>
      </c>
      <c r="L22" s="3" t="s">
        <v>284</v>
      </c>
      <c r="M22" s="3" t="s">
        <v>285</v>
      </c>
      <c r="N22" s="3" t="s">
        <v>31</v>
      </c>
      <c r="O22" s="12">
        <v>46226</v>
      </c>
      <c r="P22" s="3"/>
    </row>
    <row r="23" spans="1:16" ht="34.200000000000003">
      <c r="A23" s="3" t="s">
        <v>322</v>
      </c>
      <c r="B23" s="3"/>
      <c r="C23" s="3" t="s">
        <v>98</v>
      </c>
      <c r="D23" s="3" t="s">
        <v>323</v>
      </c>
      <c r="E23" s="3" t="s">
        <v>324</v>
      </c>
      <c r="F23" s="3" t="s">
        <v>101</v>
      </c>
      <c r="G23" s="16">
        <v>5</v>
      </c>
      <c r="H23" s="3" t="s">
        <v>55</v>
      </c>
      <c r="I23" s="3" t="s">
        <v>78</v>
      </c>
      <c r="J23" s="3" t="s">
        <v>111</v>
      </c>
      <c r="K23" s="3"/>
      <c r="L23" s="3" t="s">
        <v>104</v>
      </c>
      <c r="M23" s="3" t="s">
        <v>325</v>
      </c>
      <c r="N23" s="3" t="s">
        <v>326</v>
      </c>
      <c r="O23" s="12">
        <v>46226</v>
      </c>
      <c r="P23" s="3"/>
    </row>
    <row r="24" spans="1:16" ht="34.200000000000003">
      <c r="A24" s="3" t="s">
        <v>327</v>
      </c>
      <c r="B24" s="3"/>
      <c r="C24" s="3" t="s">
        <v>98</v>
      </c>
      <c r="D24" s="3" t="s">
        <v>328</v>
      </c>
      <c r="E24" s="3" t="s">
        <v>329</v>
      </c>
      <c r="F24" s="3" t="s">
        <v>101</v>
      </c>
      <c r="G24" s="16">
        <v>5</v>
      </c>
      <c r="H24" s="3" t="s">
        <v>55</v>
      </c>
      <c r="I24" s="3" t="s">
        <v>78</v>
      </c>
      <c r="J24" s="3" t="s">
        <v>111</v>
      </c>
      <c r="K24" s="3"/>
      <c r="L24" s="3" t="s">
        <v>104</v>
      </c>
      <c r="M24" s="3" t="s">
        <v>330</v>
      </c>
      <c r="N24" s="3" t="s">
        <v>331</v>
      </c>
      <c r="O24" s="12">
        <v>46226</v>
      </c>
      <c r="P24" s="3"/>
    </row>
    <row r="25" spans="1:16" ht="34.200000000000003">
      <c r="A25" s="3" t="s">
        <v>332</v>
      </c>
      <c r="B25" s="3"/>
      <c r="C25" s="3" t="s">
        <v>98</v>
      </c>
      <c r="D25" s="3" t="s">
        <v>333</v>
      </c>
      <c r="E25" s="3" t="s">
        <v>334</v>
      </c>
      <c r="F25" s="3" t="s">
        <v>101</v>
      </c>
      <c r="G25" s="16">
        <v>5</v>
      </c>
      <c r="H25" s="3" t="s">
        <v>55</v>
      </c>
      <c r="I25" s="3" t="s">
        <v>78</v>
      </c>
      <c r="J25" s="3" t="s">
        <v>111</v>
      </c>
      <c r="K25" s="3"/>
      <c r="L25" s="3" t="s">
        <v>104</v>
      </c>
      <c r="M25" s="3" t="s">
        <v>335</v>
      </c>
      <c r="N25" s="3" t="s">
        <v>336</v>
      </c>
      <c r="O25" s="12">
        <v>46226</v>
      </c>
      <c r="P25" s="3"/>
    </row>
    <row r="26" spans="1:16" ht="34.200000000000003">
      <c r="A26" s="3" t="s">
        <v>337</v>
      </c>
      <c r="B26" s="3"/>
      <c r="C26" s="3" t="s">
        <v>303</v>
      </c>
      <c r="D26" s="3" t="s">
        <v>338</v>
      </c>
      <c r="E26" s="3" t="s">
        <v>339</v>
      </c>
      <c r="F26" s="3" t="s">
        <v>119</v>
      </c>
      <c r="G26" s="16">
        <v>3</v>
      </c>
      <c r="H26" s="3" t="s">
        <v>55</v>
      </c>
      <c r="I26" s="3" t="s">
        <v>78</v>
      </c>
      <c r="J26" s="3" t="s">
        <v>133</v>
      </c>
      <c r="K26" s="3"/>
      <c r="L26" s="3" t="s">
        <v>104</v>
      </c>
      <c r="M26" s="3" t="s">
        <v>340</v>
      </c>
      <c r="N26" s="3" t="s">
        <v>341</v>
      </c>
      <c r="O26" s="12">
        <v>46226</v>
      </c>
      <c r="P26" s="3"/>
    </row>
    <row r="27" spans="1:16" ht="34.200000000000003">
      <c r="A27" s="3" t="s">
        <v>342</v>
      </c>
      <c r="B27" s="3"/>
      <c r="C27" s="3" t="s">
        <v>187</v>
      </c>
      <c r="D27" s="3" t="s">
        <v>343</v>
      </c>
      <c r="E27" s="3" t="s">
        <v>344</v>
      </c>
      <c r="F27" s="3" t="s">
        <v>119</v>
      </c>
      <c r="G27" s="16">
        <v>5</v>
      </c>
      <c r="H27" s="3" t="s">
        <v>55</v>
      </c>
      <c r="I27" s="3" t="s">
        <v>78</v>
      </c>
      <c r="J27" s="3" t="s">
        <v>111</v>
      </c>
      <c r="K27" s="3"/>
      <c r="L27" s="3" t="s">
        <v>345</v>
      </c>
      <c r="M27" s="3" t="s">
        <v>346</v>
      </c>
      <c r="N27" s="3" t="s">
        <v>347</v>
      </c>
      <c r="O27" s="12">
        <v>46226</v>
      </c>
      <c r="P27" s="3"/>
    </row>
    <row r="28" spans="1:16" ht="34.200000000000003">
      <c r="A28" s="3" t="s">
        <v>348</v>
      </c>
      <c r="B28" s="3"/>
      <c r="C28" s="3" t="s">
        <v>187</v>
      </c>
      <c r="D28" s="3" t="s">
        <v>349</v>
      </c>
      <c r="E28" s="3" t="s">
        <v>350</v>
      </c>
      <c r="F28" s="3" t="s">
        <v>119</v>
      </c>
      <c r="G28" s="16">
        <v>5</v>
      </c>
      <c r="H28" s="3" t="s">
        <v>55</v>
      </c>
      <c r="I28" s="3" t="s">
        <v>78</v>
      </c>
      <c r="J28" s="3" t="s">
        <v>111</v>
      </c>
      <c r="K28" s="3"/>
      <c r="L28" s="3" t="s">
        <v>345</v>
      </c>
      <c r="M28" s="3" t="s">
        <v>351</v>
      </c>
      <c r="N28" s="3" t="s">
        <v>352</v>
      </c>
      <c r="O28" s="12">
        <v>46226</v>
      </c>
      <c r="P28" s="3"/>
    </row>
    <row r="29" spans="1:16" ht="34.200000000000003">
      <c r="A29" s="3" t="s">
        <v>353</v>
      </c>
      <c r="B29" s="3"/>
      <c r="C29" s="3" t="s">
        <v>281</v>
      </c>
      <c r="D29" s="3" t="s">
        <v>354</v>
      </c>
      <c r="E29" s="3" t="s">
        <v>355</v>
      </c>
      <c r="F29" s="3" t="s">
        <v>119</v>
      </c>
      <c r="G29" s="16">
        <v>5</v>
      </c>
      <c r="H29" s="3" t="s">
        <v>55</v>
      </c>
      <c r="I29" s="3" t="s">
        <v>78</v>
      </c>
      <c r="J29" s="3" t="s">
        <v>111</v>
      </c>
      <c r="K29" s="3"/>
      <c r="L29" s="3" t="s">
        <v>284</v>
      </c>
      <c r="M29" s="3" t="s">
        <v>356</v>
      </c>
      <c r="N29" s="3" t="s">
        <v>357</v>
      </c>
      <c r="O29" s="12">
        <v>46226</v>
      </c>
      <c r="P29" s="3"/>
    </row>
    <row r="30" spans="1:16" ht="34.200000000000003">
      <c r="A30" s="3" t="s">
        <v>358</v>
      </c>
      <c r="B30" s="3"/>
      <c r="C30" s="3" t="s">
        <v>281</v>
      </c>
      <c r="D30" s="3" t="s">
        <v>359</v>
      </c>
      <c r="E30" s="3" t="s">
        <v>360</v>
      </c>
      <c r="F30" s="3" t="s">
        <v>119</v>
      </c>
      <c r="G30" s="16">
        <v>5</v>
      </c>
      <c r="H30" s="3" t="s">
        <v>55</v>
      </c>
      <c r="I30" s="3" t="s">
        <v>78</v>
      </c>
      <c r="J30" s="3" t="s">
        <v>111</v>
      </c>
      <c r="K30" s="3"/>
      <c r="L30" s="3" t="s">
        <v>284</v>
      </c>
      <c r="M30" s="3" t="s">
        <v>361</v>
      </c>
      <c r="N30" s="3" t="s">
        <v>362</v>
      </c>
      <c r="O30" s="12">
        <v>46226</v>
      </c>
      <c r="P30" s="3"/>
    </row>
    <row r="31" spans="1:16" ht="34.200000000000003">
      <c r="A31" s="3" t="s">
        <v>363</v>
      </c>
      <c r="B31" s="3"/>
      <c r="C31" s="3" t="s">
        <v>364</v>
      </c>
      <c r="D31" s="3" t="s">
        <v>365</v>
      </c>
      <c r="E31" s="3" t="s">
        <v>366</v>
      </c>
      <c r="F31" s="3" t="s">
        <v>101</v>
      </c>
      <c r="G31" s="16">
        <v>5</v>
      </c>
      <c r="H31" s="3" t="s">
        <v>55</v>
      </c>
      <c r="I31" s="3" t="s">
        <v>78</v>
      </c>
      <c r="J31" s="3" t="s">
        <v>72</v>
      </c>
      <c r="K31" s="3"/>
      <c r="L31" s="3" t="s">
        <v>104</v>
      </c>
      <c r="M31" s="3" t="s">
        <v>367</v>
      </c>
      <c r="N31" s="3" t="s">
        <v>368</v>
      </c>
      <c r="O31" s="12">
        <v>46226</v>
      </c>
      <c r="P31" s="3"/>
    </row>
    <row r="32" spans="1:16" ht="34.200000000000003">
      <c r="A32" s="3" t="s">
        <v>369</v>
      </c>
      <c r="B32" s="3"/>
      <c r="C32" s="3" t="s">
        <v>364</v>
      </c>
      <c r="D32" s="3" t="s">
        <v>370</v>
      </c>
      <c r="E32" s="3" t="s">
        <v>371</v>
      </c>
      <c r="F32" s="3" t="s">
        <v>101</v>
      </c>
      <c r="G32" s="16">
        <v>5</v>
      </c>
      <c r="H32" s="3" t="s">
        <v>55</v>
      </c>
      <c r="I32" s="3" t="s">
        <v>78</v>
      </c>
      <c r="J32" s="3" t="s">
        <v>72</v>
      </c>
      <c r="K32" s="3"/>
      <c r="L32" s="3" t="s">
        <v>104</v>
      </c>
      <c r="M32" s="3" t="s">
        <v>372</v>
      </c>
      <c r="N32" s="3" t="s">
        <v>373</v>
      </c>
      <c r="O32" s="12">
        <v>46226</v>
      </c>
      <c r="P32" s="3"/>
    </row>
    <row r="33" spans="1:16" ht="34.200000000000003">
      <c r="A33" s="3" t="s">
        <v>374</v>
      </c>
      <c r="B33" s="3"/>
      <c r="C33" s="3" t="s">
        <v>364</v>
      </c>
      <c r="D33" s="3" t="s">
        <v>375</v>
      </c>
      <c r="E33" s="3" t="s">
        <v>376</v>
      </c>
      <c r="F33" s="3" t="s">
        <v>101</v>
      </c>
      <c r="G33" s="16">
        <v>5</v>
      </c>
      <c r="H33" s="3" t="s">
        <v>55</v>
      </c>
      <c r="I33" s="3" t="s">
        <v>78</v>
      </c>
      <c r="J33" s="3" t="s">
        <v>377</v>
      </c>
      <c r="K33" s="3"/>
      <c r="L33" s="3" t="s">
        <v>104</v>
      </c>
      <c r="M33" s="3" t="s">
        <v>378</v>
      </c>
      <c r="N33" s="3" t="s">
        <v>379</v>
      </c>
      <c r="O33" s="12">
        <v>46226</v>
      </c>
      <c r="P33" s="3"/>
    </row>
    <row r="34" spans="1:16" ht="34.200000000000003">
      <c r="A34" s="3" t="s">
        <v>380</v>
      </c>
      <c r="B34" s="3"/>
      <c r="C34" s="3" t="s">
        <v>364</v>
      </c>
      <c r="D34" s="3" t="s">
        <v>381</v>
      </c>
      <c r="E34" s="3" t="s">
        <v>382</v>
      </c>
      <c r="F34" s="3" t="s">
        <v>101</v>
      </c>
      <c r="G34" s="16">
        <v>5</v>
      </c>
      <c r="H34" s="3" t="s">
        <v>55</v>
      </c>
      <c r="I34" s="3" t="s">
        <v>78</v>
      </c>
      <c r="J34" s="3" t="s">
        <v>377</v>
      </c>
      <c r="K34" s="3"/>
      <c r="L34" s="3" t="s">
        <v>104</v>
      </c>
      <c r="M34" s="3" t="s">
        <v>383</v>
      </c>
      <c r="N34" s="3" t="s">
        <v>384</v>
      </c>
      <c r="O34" s="12">
        <v>46226</v>
      </c>
      <c r="P34" s="3"/>
    </row>
  </sheetData>
  <mergeCells count="1">
    <mergeCell ref="A1:P2"/>
  </mergeCells>
  <conditionalFormatting sqref="I5:J34">
    <cfRule type="containsText" dxfId="11" priority="1" operator="containsText" text="Hoàn thành"/>
    <cfRule type="containsText" dxfId="10" priority="3" operator="containsText" text="Đã hỗ trợ"/>
    <cfRule type="containsText" dxfId="9" priority="4" operator="containsText" text="Sơ khai"/>
    <cfRule type="containsText" dxfId="8" priority="6" operator="containsText" text="Chưa xác minh"/>
    <cfRule type="containsText" dxfId="7" priority="7" operator="containsText" text="Cần làm"/>
    <cfRule type="containsText" dxfId="6" priority="9" operator="containsText" text="Chưa có sản phẩm"/>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4"/>
  <sheetViews>
    <sheetView workbookViewId="0">
      <selection sqref="A1:P2"/>
    </sheetView>
  </sheetViews>
  <sheetFormatPr defaultRowHeight="13.8"/>
  <cols>
    <col min="1" max="2" width="9" customWidth="1"/>
    <col min="3" max="3" width="10" customWidth="1"/>
    <col min="4" max="4" width="32" customWidth="1"/>
    <col min="5" max="5" width="46" customWidth="1"/>
    <col min="6" max="6" width="12" customWidth="1"/>
    <col min="7" max="7" width="9" customWidth="1"/>
    <col min="8" max="8" width="12" customWidth="1"/>
    <col min="9" max="9" width="18" customWidth="1"/>
    <col min="10" max="10" width="29" customWidth="1"/>
    <col min="11" max="11" width="24" customWidth="1"/>
    <col min="12" max="12" width="40" customWidth="1"/>
    <col min="13" max="13" width="52" customWidth="1"/>
    <col min="14" max="14" width="35" customWidth="1"/>
    <col min="15" max="15" width="16" customWidth="1"/>
    <col min="16" max="16" width="34" customWidth="1"/>
  </cols>
  <sheetData>
    <row r="1" spans="1:16" ht="43.2" customHeight="1">
      <c r="A1" s="17" t="s">
        <v>386</v>
      </c>
      <c r="B1" s="17"/>
      <c r="C1" s="17"/>
      <c r="D1" s="17"/>
      <c r="E1" s="17"/>
      <c r="F1" s="17"/>
      <c r="G1" s="17"/>
      <c r="H1" s="17"/>
      <c r="I1" s="17"/>
      <c r="J1" s="17"/>
      <c r="K1" s="17"/>
      <c r="L1" s="17"/>
      <c r="M1" s="17"/>
      <c r="N1" s="17"/>
      <c r="O1" s="17"/>
      <c r="P1" s="17"/>
    </row>
    <row r="2" spans="1:16" ht="43.2" customHeight="1">
      <c r="A2" s="17"/>
      <c r="B2" s="17"/>
      <c r="C2" s="17"/>
      <c r="D2" s="17"/>
      <c r="E2" s="17"/>
      <c r="F2" s="17"/>
      <c r="G2" s="17"/>
      <c r="H2" s="17"/>
      <c r="I2" s="17"/>
      <c r="J2" s="17"/>
      <c r="K2" s="17"/>
      <c r="L2" s="17"/>
      <c r="M2" s="17"/>
      <c r="N2" s="17"/>
      <c r="O2" s="17"/>
      <c r="P2" s="17"/>
    </row>
    <row r="4" spans="1:16" ht="25.65" customHeight="1">
      <c r="A4" s="1" t="s">
        <v>83</v>
      </c>
      <c r="B4" s="1" t="s">
        <v>31</v>
      </c>
      <c r="C4" s="1" t="s">
        <v>84</v>
      </c>
      <c r="D4" s="1" t="s">
        <v>85</v>
      </c>
      <c r="E4" s="1" t="s">
        <v>86</v>
      </c>
      <c r="F4" s="1" t="s">
        <v>87</v>
      </c>
      <c r="G4" s="1" t="s">
        <v>88</v>
      </c>
      <c r="H4" s="1" t="s">
        <v>89</v>
      </c>
      <c r="I4" s="1" t="s">
        <v>90</v>
      </c>
      <c r="J4" s="1" t="s">
        <v>91</v>
      </c>
      <c r="K4" s="1" t="s">
        <v>92</v>
      </c>
      <c r="L4" s="1" t="s">
        <v>93</v>
      </c>
      <c r="M4" s="1" t="s">
        <v>94</v>
      </c>
      <c r="N4" s="1" t="s">
        <v>4</v>
      </c>
      <c r="O4" s="1" t="s">
        <v>95</v>
      </c>
      <c r="P4" s="1" t="s">
        <v>54</v>
      </c>
    </row>
    <row r="5" spans="1:16" ht="34.200000000000003">
      <c r="A5" s="2" t="s">
        <v>136</v>
      </c>
      <c r="B5" s="2" t="s">
        <v>137</v>
      </c>
      <c r="C5" s="2" t="s">
        <v>130</v>
      </c>
      <c r="D5" s="2" t="s">
        <v>138</v>
      </c>
      <c r="E5" s="2" t="s">
        <v>139</v>
      </c>
      <c r="F5" s="2" t="s">
        <v>119</v>
      </c>
      <c r="G5" s="15">
        <v>8</v>
      </c>
      <c r="H5" s="2" t="s">
        <v>60</v>
      </c>
      <c r="I5" s="2" t="s">
        <v>72</v>
      </c>
      <c r="J5" s="2" t="s">
        <v>140</v>
      </c>
      <c r="K5" s="2" t="s">
        <v>141</v>
      </c>
      <c r="L5" s="2" t="s">
        <v>142</v>
      </c>
      <c r="M5" s="2" t="s">
        <v>143</v>
      </c>
      <c r="N5" s="2" t="s">
        <v>135</v>
      </c>
      <c r="O5" s="11">
        <v>46254</v>
      </c>
      <c r="P5" s="2" t="s">
        <v>144</v>
      </c>
    </row>
    <row r="6" spans="1:16" ht="34.200000000000003">
      <c r="A6" s="3" t="s">
        <v>145</v>
      </c>
      <c r="B6" s="3" t="s">
        <v>146</v>
      </c>
      <c r="C6" s="3" t="s">
        <v>130</v>
      </c>
      <c r="D6" s="3" t="s">
        <v>147</v>
      </c>
      <c r="E6" s="3" t="s">
        <v>148</v>
      </c>
      <c r="F6" s="3" t="s">
        <v>101</v>
      </c>
      <c r="G6" s="16">
        <v>3</v>
      </c>
      <c r="H6" s="3" t="s">
        <v>60</v>
      </c>
      <c r="I6" s="3" t="s">
        <v>72</v>
      </c>
      <c r="J6" s="3" t="s">
        <v>140</v>
      </c>
      <c r="K6" s="3" t="s">
        <v>112</v>
      </c>
      <c r="L6" s="3" t="s">
        <v>104</v>
      </c>
      <c r="M6" s="3" t="s">
        <v>149</v>
      </c>
      <c r="N6" s="3" t="s">
        <v>135</v>
      </c>
      <c r="O6" s="12">
        <v>46254</v>
      </c>
      <c r="P6" s="3" t="s">
        <v>144</v>
      </c>
    </row>
    <row r="7" spans="1:16" ht="34.200000000000003">
      <c r="A7" s="3" t="s">
        <v>150</v>
      </c>
      <c r="B7" s="3" t="s">
        <v>151</v>
      </c>
      <c r="C7" s="3" t="s">
        <v>152</v>
      </c>
      <c r="D7" s="3" t="s">
        <v>153</v>
      </c>
      <c r="E7" s="3" t="s">
        <v>154</v>
      </c>
      <c r="F7" s="3" t="s">
        <v>101</v>
      </c>
      <c r="G7" s="16">
        <v>3</v>
      </c>
      <c r="H7" s="3" t="s">
        <v>60</v>
      </c>
      <c r="I7" s="3" t="s">
        <v>72</v>
      </c>
      <c r="J7" s="3" t="s">
        <v>140</v>
      </c>
      <c r="K7" s="3" t="s">
        <v>112</v>
      </c>
      <c r="L7" s="3" t="s">
        <v>104</v>
      </c>
      <c r="M7" s="3" t="s">
        <v>155</v>
      </c>
      <c r="N7" s="3" t="s">
        <v>135</v>
      </c>
      <c r="O7" s="12">
        <v>46254</v>
      </c>
      <c r="P7" s="3" t="s">
        <v>144</v>
      </c>
    </row>
    <row r="8" spans="1:16" ht="34.200000000000003">
      <c r="A8" s="3" t="s">
        <v>156</v>
      </c>
      <c r="B8" s="3" t="s">
        <v>157</v>
      </c>
      <c r="C8" s="3" t="s">
        <v>152</v>
      </c>
      <c r="D8" s="3" t="s">
        <v>158</v>
      </c>
      <c r="E8" s="3" t="s">
        <v>159</v>
      </c>
      <c r="F8" s="3" t="s">
        <v>119</v>
      </c>
      <c r="G8" s="16">
        <v>3</v>
      </c>
      <c r="H8" s="3" t="s">
        <v>60</v>
      </c>
      <c r="I8" s="3" t="s">
        <v>74</v>
      </c>
      <c r="J8" s="3" t="s">
        <v>140</v>
      </c>
      <c r="K8" s="3" t="s">
        <v>141</v>
      </c>
      <c r="L8" s="3" t="s">
        <v>142</v>
      </c>
      <c r="M8" s="3" t="s">
        <v>160</v>
      </c>
      <c r="N8" s="3" t="s">
        <v>31</v>
      </c>
      <c r="O8" s="12">
        <v>46254</v>
      </c>
      <c r="P8" s="3" t="s">
        <v>144</v>
      </c>
    </row>
    <row r="9" spans="1:16" ht="34.200000000000003">
      <c r="A9" s="3" t="s">
        <v>179</v>
      </c>
      <c r="B9" s="3" t="s">
        <v>180</v>
      </c>
      <c r="C9" s="3" t="s">
        <v>169</v>
      </c>
      <c r="D9" s="3" t="s">
        <v>181</v>
      </c>
      <c r="E9" s="3" t="s">
        <v>182</v>
      </c>
      <c r="F9" s="3" t="s">
        <v>119</v>
      </c>
      <c r="G9" s="16">
        <v>3</v>
      </c>
      <c r="H9" s="3" t="s">
        <v>60</v>
      </c>
      <c r="I9" s="3" t="s">
        <v>76</v>
      </c>
      <c r="J9" s="3" t="s">
        <v>140</v>
      </c>
      <c r="K9" s="3" t="s">
        <v>183</v>
      </c>
      <c r="L9" s="3" t="s">
        <v>104</v>
      </c>
      <c r="M9" s="3" t="s">
        <v>184</v>
      </c>
      <c r="N9" s="3" t="s">
        <v>31</v>
      </c>
      <c r="O9" s="12">
        <v>46254</v>
      </c>
      <c r="P9" s="3" t="s">
        <v>144</v>
      </c>
    </row>
    <row r="10" spans="1:16" ht="34.200000000000003">
      <c r="A10" s="3" t="s">
        <v>237</v>
      </c>
      <c r="B10" s="3" t="s">
        <v>238</v>
      </c>
      <c r="C10" s="3" t="s">
        <v>227</v>
      </c>
      <c r="D10" s="3" t="s">
        <v>239</v>
      </c>
      <c r="E10" s="3" t="s">
        <v>240</v>
      </c>
      <c r="F10" s="3" t="s">
        <v>119</v>
      </c>
      <c r="G10" s="16">
        <v>3</v>
      </c>
      <c r="H10" s="3" t="s">
        <v>60</v>
      </c>
      <c r="I10" s="3" t="s">
        <v>76</v>
      </c>
      <c r="J10" s="3" t="s">
        <v>140</v>
      </c>
      <c r="K10" s="3" t="s">
        <v>183</v>
      </c>
      <c r="L10" s="3" t="s">
        <v>104</v>
      </c>
      <c r="M10" s="3" t="s">
        <v>241</v>
      </c>
      <c r="N10" s="3" t="s">
        <v>31</v>
      </c>
      <c r="O10" s="12">
        <v>46254</v>
      </c>
      <c r="P10" s="3" t="s">
        <v>144</v>
      </c>
    </row>
    <row r="11" spans="1:16" ht="34.200000000000003">
      <c r="A11" s="3" t="s">
        <v>242</v>
      </c>
      <c r="B11" s="3" t="s">
        <v>243</v>
      </c>
      <c r="C11" s="3" t="s">
        <v>244</v>
      </c>
      <c r="D11" s="3" t="s">
        <v>245</v>
      </c>
      <c r="E11" s="3" t="s">
        <v>246</v>
      </c>
      <c r="F11" s="3" t="s">
        <v>119</v>
      </c>
      <c r="G11" s="16">
        <v>3</v>
      </c>
      <c r="H11" s="3" t="s">
        <v>60</v>
      </c>
      <c r="I11" s="3" t="s">
        <v>76</v>
      </c>
      <c r="J11" s="3" t="s">
        <v>140</v>
      </c>
      <c r="K11" s="3" t="s">
        <v>183</v>
      </c>
      <c r="L11" s="3" t="s">
        <v>104</v>
      </c>
      <c r="M11" s="3" t="s">
        <v>247</v>
      </c>
      <c r="N11" s="3" t="s">
        <v>31</v>
      </c>
      <c r="O11" s="12">
        <v>46254</v>
      </c>
      <c r="P11" s="3" t="s">
        <v>144</v>
      </c>
    </row>
    <row r="12" spans="1:16" ht="34.200000000000003">
      <c r="A12" s="3" t="s">
        <v>248</v>
      </c>
      <c r="B12" s="3" t="s">
        <v>249</v>
      </c>
      <c r="C12" s="3" t="s">
        <v>244</v>
      </c>
      <c r="D12" s="3" t="s">
        <v>250</v>
      </c>
      <c r="E12" s="3" t="s">
        <v>251</v>
      </c>
      <c r="F12" s="3" t="s">
        <v>119</v>
      </c>
      <c r="G12" s="16">
        <v>8</v>
      </c>
      <c r="H12" s="3" t="s">
        <v>60</v>
      </c>
      <c r="I12" s="3" t="s">
        <v>76</v>
      </c>
      <c r="J12" s="3" t="s">
        <v>140</v>
      </c>
      <c r="K12" s="3" t="s">
        <v>183</v>
      </c>
      <c r="L12" s="3" t="s">
        <v>104</v>
      </c>
      <c r="M12" s="3" t="s">
        <v>252</v>
      </c>
      <c r="N12" s="3" t="s">
        <v>31</v>
      </c>
      <c r="O12" s="12">
        <v>46254</v>
      </c>
      <c r="P12" s="3" t="s">
        <v>144</v>
      </c>
    </row>
    <row r="13" spans="1:16" ht="34.200000000000003">
      <c r="A13" s="3" t="s">
        <v>253</v>
      </c>
      <c r="B13" s="3" t="s">
        <v>254</v>
      </c>
      <c r="C13" s="3" t="s">
        <v>244</v>
      </c>
      <c r="D13" s="3" t="s">
        <v>255</v>
      </c>
      <c r="E13" s="3" t="s">
        <v>256</v>
      </c>
      <c r="F13" s="3" t="s">
        <v>119</v>
      </c>
      <c r="G13" s="16">
        <v>3</v>
      </c>
      <c r="H13" s="3" t="s">
        <v>60</v>
      </c>
      <c r="I13" s="3" t="s">
        <v>76</v>
      </c>
      <c r="J13" s="3" t="s">
        <v>140</v>
      </c>
      <c r="K13" s="3" t="s">
        <v>183</v>
      </c>
      <c r="L13" s="3" t="s">
        <v>104</v>
      </c>
      <c r="M13" s="3" t="s">
        <v>257</v>
      </c>
      <c r="N13" s="3" t="s">
        <v>31</v>
      </c>
      <c r="O13" s="12">
        <v>46254</v>
      </c>
      <c r="P13" s="3" t="s">
        <v>144</v>
      </c>
    </row>
    <row r="14" spans="1:16" ht="34.200000000000003">
      <c r="A14" s="3" t="s">
        <v>258</v>
      </c>
      <c r="B14" s="3" t="s">
        <v>259</v>
      </c>
      <c r="C14" s="3" t="s">
        <v>244</v>
      </c>
      <c r="D14" s="3" t="s">
        <v>260</v>
      </c>
      <c r="E14" s="3" t="s">
        <v>261</v>
      </c>
      <c r="F14" s="3" t="s">
        <v>119</v>
      </c>
      <c r="G14" s="16">
        <v>3</v>
      </c>
      <c r="H14" s="3" t="s">
        <v>60</v>
      </c>
      <c r="I14" s="3" t="s">
        <v>76</v>
      </c>
      <c r="J14" s="3" t="s">
        <v>140</v>
      </c>
      <c r="K14" s="3" t="s">
        <v>183</v>
      </c>
      <c r="L14" s="3" t="s">
        <v>104</v>
      </c>
      <c r="M14" s="3" t="s">
        <v>262</v>
      </c>
      <c r="N14" s="3" t="s">
        <v>31</v>
      </c>
      <c r="O14" s="12">
        <v>46254</v>
      </c>
      <c r="P14" s="3" t="s">
        <v>144</v>
      </c>
    </row>
    <row r="15" spans="1:16" ht="34.200000000000003">
      <c r="A15" s="3" t="s">
        <v>263</v>
      </c>
      <c r="B15" s="3" t="s">
        <v>264</v>
      </c>
      <c r="C15" s="3" t="s">
        <v>265</v>
      </c>
      <c r="D15" s="3" t="s">
        <v>266</v>
      </c>
      <c r="E15" s="3" t="s">
        <v>267</v>
      </c>
      <c r="F15" s="3" t="s">
        <v>119</v>
      </c>
      <c r="G15" s="16">
        <v>3</v>
      </c>
      <c r="H15" s="3" t="s">
        <v>60</v>
      </c>
      <c r="I15" s="3" t="s">
        <v>76</v>
      </c>
      <c r="J15" s="3" t="s">
        <v>140</v>
      </c>
      <c r="K15" s="3" t="s">
        <v>183</v>
      </c>
      <c r="L15" s="3" t="s">
        <v>104</v>
      </c>
      <c r="M15" s="3" t="s">
        <v>268</v>
      </c>
      <c r="N15" s="3" t="s">
        <v>31</v>
      </c>
      <c r="O15" s="12">
        <v>46254</v>
      </c>
      <c r="P15" s="3" t="s">
        <v>144</v>
      </c>
    </row>
    <row r="16" spans="1:16" ht="34.200000000000003">
      <c r="A16" s="3" t="s">
        <v>269</v>
      </c>
      <c r="B16" s="3" t="s">
        <v>270</v>
      </c>
      <c r="C16" s="3" t="s">
        <v>265</v>
      </c>
      <c r="D16" s="3" t="s">
        <v>271</v>
      </c>
      <c r="E16" s="3" t="s">
        <v>272</v>
      </c>
      <c r="F16" s="3" t="s">
        <v>119</v>
      </c>
      <c r="G16" s="16">
        <v>8</v>
      </c>
      <c r="H16" s="3" t="s">
        <v>60</v>
      </c>
      <c r="I16" s="3" t="s">
        <v>76</v>
      </c>
      <c r="J16" s="3" t="s">
        <v>140</v>
      </c>
      <c r="K16" s="3" t="s">
        <v>183</v>
      </c>
      <c r="L16" s="3" t="s">
        <v>104</v>
      </c>
      <c r="M16" s="3" t="s">
        <v>273</v>
      </c>
      <c r="N16" s="3" t="s">
        <v>31</v>
      </c>
      <c r="O16" s="12">
        <v>46254</v>
      </c>
      <c r="P16" s="3" t="s">
        <v>144</v>
      </c>
    </row>
    <row r="17" spans="1:16" ht="34.200000000000003">
      <c r="A17" s="3" t="s">
        <v>274</v>
      </c>
      <c r="B17" s="3" t="s">
        <v>275</v>
      </c>
      <c r="C17" s="3" t="s">
        <v>265</v>
      </c>
      <c r="D17" s="3" t="s">
        <v>276</v>
      </c>
      <c r="E17" s="3" t="s">
        <v>277</v>
      </c>
      <c r="F17" s="3" t="s">
        <v>119</v>
      </c>
      <c r="G17" s="16">
        <v>3</v>
      </c>
      <c r="H17" s="3" t="s">
        <v>60</v>
      </c>
      <c r="I17" s="3" t="s">
        <v>76</v>
      </c>
      <c r="J17" s="3" t="s">
        <v>140</v>
      </c>
      <c r="K17" s="3" t="s">
        <v>183</v>
      </c>
      <c r="L17" s="3" t="s">
        <v>104</v>
      </c>
      <c r="M17" s="3" t="s">
        <v>278</v>
      </c>
      <c r="N17" s="3" t="s">
        <v>31</v>
      </c>
      <c r="O17" s="12">
        <v>46254</v>
      </c>
      <c r="P17" s="3" t="s">
        <v>144</v>
      </c>
    </row>
    <row r="18" spans="1:16" ht="34.200000000000003">
      <c r="A18" s="3" t="s">
        <v>286</v>
      </c>
      <c r="B18" s="3" t="s">
        <v>287</v>
      </c>
      <c r="C18" s="3" t="s">
        <v>281</v>
      </c>
      <c r="D18" s="3" t="s">
        <v>288</v>
      </c>
      <c r="E18" s="3" t="s">
        <v>289</v>
      </c>
      <c r="F18" s="3" t="s">
        <v>119</v>
      </c>
      <c r="G18" s="16">
        <v>5</v>
      </c>
      <c r="H18" s="3" t="s">
        <v>60</v>
      </c>
      <c r="I18" s="3" t="s">
        <v>76</v>
      </c>
      <c r="J18" s="3" t="s">
        <v>140</v>
      </c>
      <c r="K18" s="3" t="s">
        <v>183</v>
      </c>
      <c r="L18" s="3" t="s">
        <v>284</v>
      </c>
      <c r="M18" s="3" t="s">
        <v>290</v>
      </c>
      <c r="N18" s="3" t="s">
        <v>31</v>
      </c>
      <c r="O18" s="12">
        <v>46254</v>
      </c>
      <c r="P18" s="3" t="s">
        <v>144</v>
      </c>
    </row>
    <row r="19" spans="1:16" ht="34.200000000000003">
      <c r="A19" s="3" t="s">
        <v>291</v>
      </c>
      <c r="B19" s="3" t="s">
        <v>292</v>
      </c>
      <c r="C19" s="3" t="s">
        <v>281</v>
      </c>
      <c r="D19" s="3" t="s">
        <v>293</v>
      </c>
      <c r="E19" s="3" t="s">
        <v>294</v>
      </c>
      <c r="F19" s="3" t="s">
        <v>119</v>
      </c>
      <c r="G19" s="16">
        <v>5</v>
      </c>
      <c r="H19" s="3" t="s">
        <v>60</v>
      </c>
      <c r="I19" s="3" t="s">
        <v>76</v>
      </c>
      <c r="J19" s="3" t="s">
        <v>140</v>
      </c>
      <c r="K19" s="3" t="s">
        <v>183</v>
      </c>
      <c r="L19" s="3" t="s">
        <v>104</v>
      </c>
      <c r="M19" s="3" t="s">
        <v>295</v>
      </c>
      <c r="N19" s="3" t="s">
        <v>31</v>
      </c>
      <c r="O19" s="12">
        <v>46254</v>
      </c>
      <c r="P19" s="3" t="s">
        <v>144</v>
      </c>
    </row>
    <row r="20" spans="1:16" ht="34.200000000000003">
      <c r="A20" s="3" t="s">
        <v>296</v>
      </c>
      <c r="B20" s="3" t="s">
        <v>297</v>
      </c>
      <c r="C20" s="3" t="s">
        <v>281</v>
      </c>
      <c r="D20" s="3" t="s">
        <v>298</v>
      </c>
      <c r="E20" s="3" t="s">
        <v>299</v>
      </c>
      <c r="F20" s="3" t="s">
        <v>119</v>
      </c>
      <c r="G20" s="16">
        <v>5</v>
      </c>
      <c r="H20" s="3" t="s">
        <v>60</v>
      </c>
      <c r="I20" s="3" t="s">
        <v>76</v>
      </c>
      <c r="J20" s="3" t="s">
        <v>140</v>
      </c>
      <c r="K20" s="3" t="s">
        <v>183</v>
      </c>
      <c r="L20" s="3" t="s">
        <v>104</v>
      </c>
      <c r="M20" s="3" t="s">
        <v>300</v>
      </c>
      <c r="N20" s="3" t="s">
        <v>31</v>
      </c>
      <c r="O20" s="12">
        <v>46254</v>
      </c>
      <c r="P20" s="3" t="s">
        <v>144</v>
      </c>
    </row>
    <row r="21" spans="1:16" ht="34.200000000000003">
      <c r="A21" s="3" t="s">
        <v>301</v>
      </c>
      <c r="B21" s="3" t="s">
        <v>302</v>
      </c>
      <c r="C21" s="3" t="s">
        <v>303</v>
      </c>
      <c r="D21" s="3" t="s">
        <v>304</v>
      </c>
      <c r="E21" s="3" t="s">
        <v>305</v>
      </c>
      <c r="F21" s="3" t="s">
        <v>119</v>
      </c>
      <c r="G21" s="16">
        <v>3</v>
      </c>
      <c r="H21" s="3" t="s">
        <v>60</v>
      </c>
      <c r="I21" s="3" t="s">
        <v>76</v>
      </c>
      <c r="J21" s="3" t="s">
        <v>140</v>
      </c>
      <c r="K21" s="3" t="s">
        <v>183</v>
      </c>
      <c r="L21" s="3" t="s">
        <v>104</v>
      </c>
      <c r="M21" s="3" t="s">
        <v>306</v>
      </c>
      <c r="N21" s="3" t="s">
        <v>31</v>
      </c>
      <c r="O21" s="12">
        <v>46254</v>
      </c>
      <c r="P21" s="3" t="s">
        <v>144</v>
      </c>
    </row>
    <row r="22" spans="1:16" ht="34.200000000000003">
      <c r="A22" s="3" t="s">
        <v>307</v>
      </c>
      <c r="B22" s="3" t="s">
        <v>308</v>
      </c>
      <c r="C22" s="3" t="s">
        <v>303</v>
      </c>
      <c r="D22" s="3" t="s">
        <v>309</v>
      </c>
      <c r="E22" s="3" t="s">
        <v>310</v>
      </c>
      <c r="F22" s="3" t="s">
        <v>119</v>
      </c>
      <c r="G22" s="16">
        <v>8</v>
      </c>
      <c r="H22" s="3" t="s">
        <v>60</v>
      </c>
      <c r="I22" s="3" t="s">
        <v>76</v>
      </c>
      <c r="J22" s="3" t="s">
        <v>140</v>
      </c>
      <c r="K22" s="3" t="s">
        <v>183</v>
      </c>
      <c r="L22" s="3" t="s">
        <v>104</v>
      </c>
      <c r="M22" s="3" t="s">
        <v>311</v>
      </c>
      <c r="N22" s="3" t="s">
        <v>31</v>
      </c>
      <c r="O22" s="12">
        <v>46254</v>
      </c>
      <c r="P22" s="3" t="s">
        <v>144</v>
      </c>
    </row>
    <row r="23" spans="1:16" ht="34.200000000000003">
      <c r="A23" s="3" t="s">
        <v>312</v>
      </c>
      <c r="B23" s="3" t="s">
        <v>313</v>
      </c>
      <c r="C23" s="3" t="s">
        <v>303</v>
      </c>
      <c r="D23" s="3" t="s">
        <v>314</v>
      </c>
      <c r="E23" s="3" t="s">
        <v>315</v>
      </c>
      <c r="F23" s="3" t="s">
        <v>119</v>
      </c>
      <c r="G23" s="16">
        <v>3</v>
      </c>
      <c r="H23" s="3" t="s">
        <v>60</v>
      </c>
      <c r="I23" s="3" t="s">
        <v>76</v>
      </c>
      <c r="J23" s="3" t="s">
        <v>140</v>
      </c>
      <c r="K23" s="3" t="s">
        <v>183</v>
      </c>
      <c r="L23" s="3" t="s">
        <v>104</v>
      </c>
      <c r="M23" s="3" t="s">
        <v>316</v>
      </c>
      <c r="N23" s="3" t="s">
        <v>31</v>
      </c>
      <c r="O23" s="12">
        <v>46254</v>
      </c>
      <c r="P23" s="3" t="s">
        <v>144</v>
      </c>
    </row>
    <row r="24" spans="1:16" ht="34.200000000000003">
      <c r="A24" s="3" t="s">
        <v>317</v>
      </c>
      <c r="B24" s="3" t="s">
        <v>318</v>
      </c>
      <c r="C24" s="3" t="s">
        <v>303</v>
      </c>
      <c r="D24" s="3" t="s">
        <v>319</v>
      </c>
      <c r="E24" s="3" t="s">
        <v>320</v>
      </c>
      <c r="F24" s="3" t="s">
        <v>119</v>
      </c>
      <c r="G24" s="16">
        <v>8</v>
      </c>
      <c r="H24" s="3" t="s">
        <v>60</v>
      </c>
      <c r="I24" s="3" t="s">
        <v>76</v>
      </c>
      <c r="J24" s="3" t="s">
        <v>140</v>
      </c>
      <c r="K24" s="3" t="s">
        <v>183</v>
      </c>
      <c r="L24" s="3" t="s">
        <v>104</v>
      </c>
      <c r="M24" s="3" t="s">
        <v>321</v>
      </c>
      <c r="N24" s="3" t="s">
        <v>31</v>
      </c>
      <c r="O24" s="12">
        <v>46254</v>
      </c>
      <c r="P24" s="3" t="s">
        <v>144</v>
      </c>
    </row>
  </sheetData>
  <mergeCells count="1">
    <mergeCell ref="A1:P2"/>
  </mergeCells>
  <conditionalFormatting sqref="I5:J24">
    <cfRule type="containsText" dxfId="5" priority="1" operator="containsText" text="Hoàn thành"/>
    <cfRule type="containsText" dxfId="4" priority="3" operator="containsText" text="Đã hỗ trợ"/>
    <cfRule type="containsText" dxfId="3" priority="4" operator="containsText" text="Sơ khai"/>
    <cfRule type="containsText" dxfId="2" priority="6" operator="containsText" text="Chưa xác minh"/>
    <cfRule type="containsText" dxfId="1" priority="7" operator="containsText" text="Cần làm"/>
    <cfRule type="containsText" dxfId="0" priority="9" operator="containsText" text="Chưa có sản phẩm"/>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
  <sheetViews>
    <sheetView workbookViewId="0">
      <selection sqref="A1:F2"/>
    </sheetView>
  </sheetViews>
  <sheetFormatPr defaultRowHeight="13.8"/>
  <cols>
    <col min="1" max="1" width="12" customWidth="1"/>
    <col min="2" max="2" width="40" customWidth="1"/>
    <col min="3" max="5" width="12" customWidth="1"/>
    <col min="6" max="6" width="48" customWidth="1"/>
  </cols>
  <sheetData>
    <row r="1" spans="1:6" ht="43.2" customHeight="1">
      <c r="A1" s="17" t="s">
        <v>387</v>
      </c>
      <c r="B1" s="17"/>
      <c r="C1" s="17"/>
      <c r="D1" s="17"/>
      <c r="E1" s="17"/>
      <c r="F1" s="17"/>
    </row>
    <row r="2" spans="1:6" ht="43.2" customHeight="1">
      <c r="A2" s="17"/>
      <c r="B2" s="17"/>
      <c r="C2" s="17"/>
      <c r="D2" s="17"/>
      <c r="E2" s="17"/>
      <c r="F2" s="17"/>
    </row>
    <row r="4" spans="1:6" ht="25.65" customHeight="1">
      <c r="A4" s="1" t="s">
        <v>388</v>
      </c>
      <c r="B4" s="1" t="s">
        <v>389</v>
      </c>
      <c r="C4" s="1" t="s">
        <v>390</v>
      </c>
      <c r="D4" s="1" t="s">
        <v>55</v>
      </c>
      <c r="E4" s="1" t="s">
        <v>60</v>
      </c>
      <c r="F4" s="1" t="s">
        <v>54</v>
      </c>
    </row>
    <row r="5" spans="1:6">
      <c r="A5" s="2" t="s">
        <v>98</v>
      </c>
      <c r="B5" s="2" t="s">
        <v>391</v>
      </c>
      <c r="C5" s="2">
        <v>7</v>
      </c>
      <c r="D5" s="2">
        <v>7</v>
      </c>
      <c r="E5" s="2">
        <v>0</v>
      </c>
      <c r="F5" s="2"/>
    </row>
    <row r="6" spans="1:6">
      <c r="A6" s="3" t="s">
        <v>130</v>
      </c>
      <c r="B6" s="3" t="s">
        <v>392</v>
      </c>
      <c r="C6" s="3">
        <v>3</v>
      </c>
      <c r="D6" s="3">
        <v>1</v>
      </c>
      <c r="E6" s="3">
        <v>2</v>
      </c>
      <c r="F6" s="3"/>
    </row>
    <row r="7" spans="1:6">
      <c r="A7" s="3" t="s">
        <v>152</v>
      </c>
      <c r="B7" s="3" t="s">
        <v>393</v>
      </c>
      <c r="C7" s="3">
        <v>3</v>
      </c>
      <c r="D7" s="3">
        <v>1</v>
      </c>
      <c r="E7" s="3">
        <v>2</v>
      </c>
      <c r="F7" s="3"/>
    </row>
    <row r="8" spans="1:6">
      <c r="A8" s="3" t="s">
        <v>169</v>
      </c>
      <c r="B8" s="3" t="s">
        <v>394</v>
      </c>
      <c r="C8" s="3">
        <v>3</v>
      </c>
      <c r="D8" s="3">
        <v>2</v>
      </c>
      <c r="E8" s="3">
        <v>1</v>
      </c>
      <c r="F8" s="3"/>
    </row>
    <row r="9" spans="1:6">
      <c r="A9" s="3" t="s">
        <v>187</v>
      </c>
      <c r="B9" s="3" t="s">
        <v>395</v>
      </c>
      <c r="C9" s="3">
        <v>7</v>
      </c>
      <c r="D9" s="3">
        <v>7</v>
      </c>
      <c r="E9" s="3">
        <v>0</v>
      </c>
      <c r="F9" s="3"/>
    </row>
    <row r="10" spans="1:6">
      <c r="A10" s="3" t="s">
        <v>215</v>
      </c>
      <c r="B10" s="3" t="s">
        <v>396</v>
      </c>
      <c r="C10" s="3">
        <v>2</v>
      </c>
      <c r="D10" s="3">
        <v>2</v>
      </c>
      <c r="E10" s="3">
        <v>0</v>
      </c>
      <c r="F10" s="3"/>
    </row>
    <row r="11" spans="1:6">
      <c r="A11" s="3" t="s">
        <v>227</v>
      </c>
      <c r="B11" s="3" t="s">
        <v>397</v>
      </c>
      <c r="C11" s="3">
        <v>3</v>
      </c>
      <c r="D11" s="3">
        <v>2</v>
      </c>
      <c r="E11" s="3">
        <v>1</v>
      </c>
      <c r="F11" s="3"/>
    </row>
    <row r="12" spans="1:6">
      <c r="A12" s="3" t="s">
        <v>244</v>
      </c>
      <c r="B12" s="3" t="s">
        <v>398</v>
      </c>
      <c r="C12" s="3">
        <v>4</v>
      </c>
      <c r="D12" s="3">
        <v>0</v>
      </c>
      <c r="E12" s="3">
        <v>4</v>
      </c>
      <c r="F12" s="3"/>
    </row>
    <row r="13" spans="1:6">
      <c r="A13" s="3" t="s">
        <v>265</v>
      </c>
      <c r="B13" s="3" t="s">
        <v>399</v>
      </c>
      <c r="C13" s="3">
        <v>3</v>
      </c>
      <c r="D13" s="3">
        <v>0</v>
      </c>
      <c r="E13" s="3">
        <v>3</v>
      </c>
      <c r="F13" s="3"/>
    </row>
    <row r="14" spans="1:6">
      <c r="A14" s="3" t="s">
        <v>281</v>
      </c>
      <c r="B14" s="3" t="s">
        <v>400</v>
      </c>
      <c r="C14" s="3">
        <v>6</v>
      </c>
      <c r="D14" s="3">
        <v>3</v>
      </c>
      <c r="E14" s="3">
        <v>3</v>
      </c>
      <c r="F14" s="3"/>
    </row>
    <row r="15" spans="1:6">
      <c r="A15" s="3" t="s">
        <v>303</v>
      </c>
      <c r="B15" s="3" t="s">
        <v>401</v>
      </c>
      <c r="C15" s="3">
        <v>5</v>
      </c>
      <c r="D15" s="3">
        <v>1</v>
      </c>
      <c r="E15" s="3">
        <v>4</v>
      </c>
      <c r="F15" s="3"/>
    </row>
    <row r="16" spans="1:6">
      <c r="A16" s="3" t="s">
        <v>364</v>
      </c>
      <c r="B16" s="3" t="s">
        <v>402</v>
      </c>
      <c r="C16" s="3">
        <v>4</v>
      </c>
      <c r="D16" s="3">
        <v>4</v>
      </c>
      <c r="E16" s="3">
        <v>0</v>
      </c>
      <c r="F16" s="3" t="s">
        <v>403</v>
      </c>
    </row>
  </sheetData>
  <mergeCells count="1">
    <mergeCell ref="A1: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tabSelected="1" workbookViewId="0">
      <selection sqref="A1:F2"/>
    </sheetView>
  </sheetViews>
  <sheetFormatPr defaultRowHeight="13.8"/>
  <cols>
    <col min="1" max="2" width="16" customWidth="1"/>
    <col min="3" max="3" width="26" customWidth="1"/>
    <col min="4" max="4" width="32" customWidth="1"/>
    <col min="5" max="5" width="22" customWidth="1"/>
    <col min="6" max="6" width="32" customWidth="1"/>
  </cols>
  <sheetData>
    <row r="1" spans="1:6" ht="30.45" customHeight="1">
      <c r="A1" s="17" t="s">
        <v>404</v>
      </c>
      <c r="B1" s="17"/>
      <c r="C1" s="17"/>
      <c r="D1" s="17"/>
      <c r="E1" s="17"/>
      <c r="F1" s="17"/>
    </row>
    <row r="2" spans="1:6" ht="30.45" customHeight="1">
      <c r="A2" s="17"/>
      <c r="B2" s="17"/>
      <c r="C2" s="17"/>
      <c r="D2" s="17"/>
      <c r="E2" s="17"/>
      <c r="F2" s="17"/>
    </row>
    <row r="4" spans="1:6" ht="25.65" customHeight="1">
      <c r="A4" s="1" t="s">
        <v>89</v>
      </c>
      <c r="B4" s="1" t="s">
        <v>87</v>
      </c>
      <c r="C4" s="1" t="s">
        <v>90</v>
      </c>
      <c r="D4" s="1" t="s">
        <v>405</v>
      </c>
      <c r="E4" s="1" t="s">
        <v>4</v>
      </c>
      <c r="F4" s="1" t="s">
        <v>406</v>
      </c>
    </row>
    <row r="5" spans="1:6">
      <c r="A5" s="2" t="s">
        <v>55</v>
      </c>
      <c r="B5" s="2" t="s">
        <v>101</v>
      </c>
      <c r="C5" s="2" t="s">
        <v>72</v>
      </c>
      <c r="D5" s="2" t="s">
        <v>102</v>
      </c>
      <c r="E5" s="2" t="s">
        <v>31</v>
      </c>
      <c r="F5" s="2" t="s">
        <v>407</v>
      </c>
    </row>
    <row r="6" spans="1:6">
      <c r="A6" s="3" t="s">
        <v>60</v>
      </c>
      <c r="B6" s="3" t="s">
        <v>119</v>
      </c>
      <c r="C6" s="3" t="s">
        <v>74</v>
      </c>
      <c r="D6" s="3" t="s">
        <v>111</v>
      </c>
      <c r="E6" s="3" t="s">
        <v>408</v>
      </c>
      <c r="F6" s="3" t="s">
        <v>409</v>
      </c>
    </row>
    <row r="7" spans="1:6">
      <c r="A7" s="3"/>
      <c r="B7" s="3" t="s">
        <v>110</v>
      </c>
      <c r="C7" s="3" t="s">
        <v>76</v>
      </c>
      <c r="D7" s="3" t="s">
        <v>223</v>
      </c>
      <c r="E7" s="3" t="s">
        <v>410</v>
      </c>
      <c r="F7" s="3" t="s">
        <v>411</v>
      </c>
    </row>
    <row r="8" spans="1:6">
      <c r="A8" s="3"/>
      <c r="B8" s="3"/>
      <c r="C8" s="3" t="s">
        <v>78</v>
      </c>
      <c r="D8" s="3" t="s">
        <v>206</v>
      </c>
      <c r="E8" s="3" t="s">
        <v>412</v>
      </c>
      <c r="F8" s="3" t="s">
        <v>413</v>
      </c>
    </row>
    <row r="9" spans="1:6">
      <c r="A9" s="3"/>
      <c r="B9" s="3"/>
      <c r="C9" s="3"/>
      <c r="D9" s="3" t="s">
        <v>29</v>
      </c>
      <c r="E9" s="3" t="s">
        <v>414</v>
      </c>
      <c r="F9" s="3"/>
    </row>
    <row r="10" spans="1:6">
      <c r="A10" s="3"/>
      <c r="B10" s="3"/>
      <c r="C10" s="3"/>
      <c r="D10" s="3" t="s">
        <v>62</v>
      </c>
      <c r="E10" s="3"/>
      <c r="F10" s="3"/>
    </row>
  </sheetData>
  <mergeCells count="1">
    <mergeCell ref="A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Hướng dẫn đọc</vt:lpstr>
      <vt:lpstr>Tổng quan</vt:lpstr>
      <vt:lpstr>Product Backlog</vt:lpstr>
      <vt:lpstr>Sprint 1</vt:lpstr>
      <vt:lpstr>Sprint 2</vt:lpstr>
      <vt:lpstr>Epic</vt:lpstr>
      <vt:lpstr>Danh mục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Nhân Huỳnh</dc:creator>
  <cp:lastModifiedBy>Nhân Huỳnh</cp:lastModifiedBy>
  <dcterms:modified xsi:type="dcterms:W3CDTF">2026-07-29T16:24:40Z</dcterms:modified>
</cp:coreProperties>
</file>