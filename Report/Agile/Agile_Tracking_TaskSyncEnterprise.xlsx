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d92871ae6f4b14" /></Relationships>
</file>

<file path=xl/workbook.xml><?xml version="1.0" encoding="utf-8"?>
<x:workbook xmlns:x="http://schemas.openxmlformats.org/spreadsheetml/2006/main">
  <x:sheets>
    <x:sheet xmlns:r="http://schemas.openxmlformats.org/officeDocument/2006/relationships" name="Hướng dẫn đọc" sheetId="1" r:id="R772af03519a54b60"/>
    <x:sheet xmlns:r="http://schemas.openxmlformats.org/officeDocument/2006/relationships" name="Tổng quan" sheetId="2" r:id="R0b6bda6b61f240c2"/>
    <x:sheet xmlns:r="http://schemas.openxmlformats.org/officeDocument/2006/relationships" name="Công việc Sprint 1" sheetId="3" r:id="R2e0d4b315c844ba9"/>
    <x:sheet xmlns:r="http://schemas.openxmlformats.org/officeDocument/2006/relationships" name="Daily Scrum Sprint 1" sheetId="4" r:id="R37fc9ba65e9a4f88"/>
    <x:sheet xmlns:r="http://schemas.openxmlformats.org/officeDocument/2006/relationships" name="Lỗi và Debug" sheetId="5" r:id="R4fb535269a1a4c00"/>
    <x:sheet xmlns:r="http://schemas.openxmlformats.org/officeDocument/2006/relationships" name="Rủi ro và trở ngại" sheetId="6" r:id="R20942f533d9d4037"/>
    <x:sheet xmlns:r="http://schemas.openxmlformats.org/officeDocument/2006/relationships" name="Bằng chứng" sheetId="7" r:id="R80b2405ad70146e2"/>
    <x:sheet xmlns:r="http://schemas.openxmlformats.org/officeDocument/2006/relationships" name="Sprint 2" sheetId="8" r:id="R430737196ec6426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
  </x:numFmts>
  <x:fonts count="7">
    <x:font>
      <x:sz val="11"/>
      <x:name val="Carlito"/>
    </x:font>
    <x:font>
      <x:b/>
      <x:sz val="17"/>
      <x:color rgb="FFFFFFFF"/>
      <x:name val="Carlito"/>
    </x:font>
    <x:font>
      <x:b/>
      <x:sz val="10"/>
      <x:color rgb="FF1F2937"/>
      <x:name val="Carlito"/>
    </x:font>
    <x:font>
      <x:sz val="9"/>
      <x:color rgb="FF1F2937"/>
      <x:name val="Carlito"/>
    </x:font>
    <x:font>
      <x:b/>
      <x:sz val="9"/>
      <x:color rgb="FF1F2937"/>
      <x:name val="Carlito"/>
    </x:font>
    <x:font>
      <x:b/>
      <x:sz val="11"/>
      <x:color rgb="FFFFFFFF"/>
      <x:name val="Carlito"/>
    </x:font>
    <x:font>
      <x:b/>
      <x:sz val="13"/>
      <x:color rgb="FF17365D"/>
      <x:name val="Carlito"/>
    </x:font>
  </x:fonts>
  <x:fills count="11">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C6EFCE"/>
      </x:patternFill>
    </x:fill>
    <x:fill>
      <x:patternFill patternType="solid">
        <x:fgColor rgb="FFFFF2CC"/>
      </x:patternFill>
    </x:fill>
    <x:fill>
      <x:patternFill patternType="solid">
        <x:fgColor rgb="FFFCE4D6"/>
      </x:patternFill>
    </x:fill>
    <x:fill>
      <x:patternFill patternType="solid">
        <x:fgColor rgb="FFFFC7CE"/>
      </x:patternFill>
    </x:fill>
    <x:fill>
      <x:patternFill patternType="solid">
        <x:fgColor rgb="FFE7E6E6"/>
      </x:patternFill>
    </x:fill>
    <x:fill>
      <x:patternFill patternType="solid">
        <x:fgColor rgb="FF2E75B6"/>
      </x:patternFill>
    </x:fill>
    <x:fill>
      <x:patternFill patternType="solid">
        <x:fgColor rgb="FFF7F9FC"/>
      </x:patternFill>
    </x:fill>
  </x:fills>
  <x:borders count="4">
    <x:border/>
    <x:border>
      <x:left style="thin">
        <x:color rgb="FFA6A6A6"/>
      </x:left>
      <x:right style="thin">
        <x:color rgb="FFA6A6A6"/>
      </x:right>
      <x:top style="thin">
        <x:color rgb="FFA6A6A6"/>
      </x:top>
      <x:bottom style="thin">
        <x:color rgb="FFA6A6A6"/>
      </x:bottom>
    </x:border>
    <x:border>
      <x:bottom style="thin">
        <x:color rgb="FFD9E2F3"/>
      </x:bottom>
    </x:border>
    <x:border>
      <x:top style="thin">
        <x:color rgb="FFD9E2F3"/>
      </x:top>
      <x:bottom style="thin">
        <x:color rgb="FFD9E2F3"/>
      </x:bottom>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2" xfId="0" applyNumberFormat="1" applyFont="1" applyFill="1" applyBorder="1" applyAlignment="1">
      <x:alignment vertical="center" wrapText="1"/>
    </x:xf>
    <x:xf numFmtId="0" fontId="3" fillId="0" borderId="3"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4" fillId="4" borderId="2" xfId="0" applyNumberFormat="1" applyFont="1" applyFill="1" applyBorder="1" applyAlignment="1">
      <x:alignment vertical="center" wrapText="1"/>
    </x:xf>
    <x:xf numFmtId="0" fontId="3" fillId="3" borderId="3" xfId="0" applyNumberFormat="1" applyFont="1" applyFill="1" applyBorder="1" applyAlignment="1">
      <x:alignment vertical="center" wrapText="1"/>
    </x:xf>
    <x:xf numFmtId="0" fontId="4" fillId="3" borderId="3" xfId="0" applyNumberFormat="1" applyFont="1" applyFill="1" applyBorder="1" applyAlignment="1">
      <x:alignment vertical="center" wrapText="1"/>
    </x:xf>
    <x:xf numFmtId="0" fontId="3" fillId="5" borderId="3"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3" fillId="6" borderId="3" xfId="0" applyNumberFormat="1" applyFont="1" applyFill="1" applyBorder="1" applyAlignment="1">
      <x:alignment vertical="center" wrapText="1"/>
    </x:xf>
    <x:xf numFmtId="0" fontId="4" fillId="6" borderId="3" xfId="0" applyNumberFormat="1" applyFont="1" applyFill="1" applyBorder="1" applyAlignment="1">
      <x:alignment vertical="center" wrapText="1"/>
    </x:xf>
    <x:xf numFmtId="0" fontId="3" fillId="7" borderId="3" xfId="0" applyNumberFormat="1" applyFont="1" applyFill="1" applyBorder="1" applyAlignment="1">
      <x:alignment vertical="center" wrapText="1"/>
    </x:xf>
    <x:xf numFmtId="0" fontId="4" fillId="7" borderId="3" xfId="0" applyNumberFormat="1" applyFont="1" applyFill="1" applyBorder="1" applyAlignment="1">
      <x:alignment vertical="center" wrapText="1"/>
    </x:xf>
    <x:xf numFmtId="0" fontId="3" fillId="8" borderId="3" xfId="0" applyNumberFormat="1" applyFont="1" applyFill="1" applyBorder="1" applyAlignment="1">
      <x:alignment vertical="center" wrapText="1"/>
    </x:xf>
    <x:xf numFmtId="0" fontId="4" fillId="8" borderId="3" xfId="0" applyNumberFormat="1" applyFont="1" applyFill="1" applyBorder="1" applyAlignment="1">
      <x:alignment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vertical="center"/>
    </x:xf>
    <x:xf numFmtId="200" fontId="3" fillId="0" borderId="2" xfId="0" applyNumberFormat="1" applyFont="1" applyFill="1" applyBorder="1" applyAlignment="1">
      <x:alignment vertical="center" wrapText="1"/>
    </x:xf>
    <x:xf numFmtId="200" fontId="3" fillId="0" borderId="3" xfId="0" applyNumberFormat="1" applyFont="1" applyFill="1" applyBorder="1" applyAlignment="1">
      <x:alignment vertical="center" wrapText="1"/>
    </x:xf>
    <x:xf numFmtId="0" fontId="3" fillId="10" borderId="2" xfId="0" applyNumberFormat="1" applyFont="1" applyFill="1" applyBorder="1" applyAlignment="1">
      <x:alignment vertical="center" wrapText="1"/>
    </x:xf>
    <x:xf numFmtId="0" fontId="3" fillId="10" borderId="3" xfId="0" applyNumberFormat="1" applyFont="1" applyFill="1" applyBorder="1" applyAlignment="1">
      <x:alignment vertical="center" wrapText="1"/>
    </x:xf>
    <x:xf numFmtId="0" fontId="6" fillId="10" borderId="2" xfId="0" applyNumberFormat="1" applyFont="1" applyFill="1" applyBorder="1" applyAlignment="1">
      <x:alignment vertical="center" wrapText="1"/>
    </x:xf>
    <x:xf numFmtId="0" fontId="6" fillId="10" borderId="3" xfId="0" applyNumberFormat="1" applyFont="1" applyFill="1" applyBorder="1" applyAlignment="1">
      <x:alignment vertical="center" wrapText="1"/>
    </x:xf>
    <x:xf numFmtId="0" fontId="6" fillId="10" borderId="2" xfId="0" applyNumberFormat="1" applyFont="1" applyFill="1" applyBorder="1" applyAlignment="1">
      <x:alignment horizontal="center" vertical="center" wrapText="1"/>
    </x:xf>
    <x:xf numFmtId="0" fontId="6" fillId="10" borderId="3" xfId="0" applyNumberFormat="1" applyFont="1" applyFill="1" applyBorder="1" applyAlignment="1">
      <x:alignment horizontal="center" vertical="center"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201" fontId="3" fillId="0" borderId="2" xfId="0" applyNumberFormat="1" applyFont="1" applyFill="1" applyBorder="1" applyAlignment="1">
      <x:alignment vertical="center" wrapText="1"/>
    </x:xf>
    <x:xf numFmtId="201" fontId="3" fillId="0" borderId="3" xfId="0" applyNumberFormat="1" applyFont="1" applyFill="1" applyBorder="1" applyAlignment="1">
      <x:alignment vertical="center" wrapText="1"/>
    </x:xf>
  </x:cellXfs>
  <x:cellStyles count="1">
    <x:cellStyle name="Normal" xfId="0"/>
  </x:cellStyles>
  <x:dxfs count="54">
    <x:dxf>
      <x:font>
        <x:b/>
        <x:color rgb="FF006100"/>
      </x:font>
      <x:fill>
        <x:patternFill patternType="solid">
          <x:bgColor rgb="FFC6EFCE"/>
        </x:patternFill>
      </x:fill>
    </x:dxf>
    <x:dxf>
      <x:font>
        <x:b/>
        <x:color rgb="FF006100"/>
      </x:font>
      <x:fill>
        <x:patternFill patternType="solid">
          <x:bgColor rgb="FFC6EFCE"/>
        </x:patternFill>
      </x:fill>
    </x:dxf>
    <x:dxf>
      <x:font>
        <x:b/>
        <x:color rgb="FF1F2937"/>
      </x:font>
      <x:fill>
        <x:patternFill patternType="solid">
          <x:bgColor rgb="FFDDEBF7"/>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5700"/>
      </x:font>
      <x:fill>
        <x:patternFill patternType="solid">
          <x:bgColor rgb="FFFCE4D6"/>
        </x:patternFill>
      </x:fill>
    </x:dxf>
    <x:dxf>
      <x:font>
        <x:b/>
        <x:color rgb="FF595959"/>
      </x:font>
      <x:fill>
        <x:patternFill patternType="solid">
          <x:bgColor rgb="FFE7E6E6"/>
        </x:patternFill>
      </x:fill>
    </x:dxf>
    <x:dxf>
      <x:font>
        <x:b/>
        <x:color rgb="FF595959"/>
      </x:font>
      <x:fill>
        <x:patternFill patternType="solid">
          <x:bgColor rgb="FFE7E6E6"/>
        </x:patternFill>
      </x:fill>
    </x:dxf>
    <x:dxf>
      <x:font>
        <x:b/>
        <x:color rgb="FF9C0006"/>
      </x:font>
      <x:fill>
        <x:patternFill patternType="solid">
          <x:bgColor rgb="FFFFC7CE"/>
        </x:patternFill>
      </x:fill>
    </x:dxf>
    <x:dxf>
      <x:font>
        <x:b/>
        <x:color rgb="FF006100"/>
      </x:font>
      <x:fill>
        <x:patternFill patternType="solid">
          <x:bgColor rgb="FFC6EFCE"/>
        </x:patternFill>
      </x:fill>
    </x:dxf>
    <x:dxf>
      <x:font>
        <x:b/>
        <x:color rgb="FF006100"/>
      </x:font>
      <x:fill>
        <x:patternFill patternType="solid">
          <x:bgColor rgb="FFC6EFCE"/>
        </x:patternFill>
      </x:fill>
    </x:dxf>
    <x:dxf>
      <x:font>
        <x:b/>
        <x:color rgb="FF1F2937"/>
      </x:font>
      <x:fill>
        <x:patternFill patternType="solid">
          <x:bgColor rgb="FFDDEBF7"/>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5700"/>
      </x:font>
      <x:fill>
        <x:patternFill patternType="solid">
          <x:bgColor rgb="FFFCE4D6"/>
        </x:patternFill>
      </x:fill>
    </x:dxf>
    <x:dxf>
      <x:font>
        <x:b/>
        <x:color rgb="FF595959"/>
      </x:font>
      <x:fill>
        <x:patternFill patternType="solid">
          <x:bgColor rgb="FFE7E6E6"/>
        </x:patternFill>
      </x:fill>
    </x:dxf>
    <x:dxf>
      <x:font>
        <x:b/>
        <x:color rgb="FF595959"/>
      </x:font>
      <x:fill>
        <x:patternFill patternType="solid">
          <x:bgColor rgb="FFE7E6E6"/>
        </x:patternFill>
      </x:fill>
    </x:dxf>
    <x:dxf>
      <x:font>
        <x:b/>
        <x:color rgb="FF9C0006"/>
      </x:font>
      <x:fill>
        <x:patternFill patternType="solid">
          <x:bgColor rgb="FFFFC7CE"/>
        </x:patternFill>
      </x:fill>
    </x:dxf>
    <x:dxf>
      <x:font>
        <x:b/>
        <x:color rgb="FF006100"/>
      </x:font>
      <x:fill>
        <x:patternFill patternType="solid">
          <x:bgColor rgb="FFC6EFCE"/>
        </x:patternFill>
      </x:fill>
    </x:dxf>
    <x:dxf>
      <x:font>
        <x:b/>
        <x:color rgb="FF006100"/>
      </x:font>
      <x:fill>
        <x:patternFill patternType="solid">
          <x:bgColor rgb="FFC6EFCE"/>
        </x:patternFill>
      </x:fill>
    </x:dxf>
    <x:dxf>
      <x:font>
        <x:b/>
        <x:color rgb="FF1F2937"/>
      </x:font>
      <x:fill>
        <x:patternFill patternType="solid">
          <x:bgColor rgb="FFDDEBF7"/>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5700"/>
      </x:font>
      <x:fill>
        <x:patternFill patternType="solid">
          <x:bgColor rgb="FFFCE4D6"/>
        </x:patternFill>
      </x:fill>
    </x:dxf>
    <x:dxf>
      <x:font>
        <x:b/>
        <x:color rgb="FF595959"/>
      </x:font>
      <x:fill>
        <x:patternFill patternType="solid">
          <x:bgColor rgb="FFE7E6E6"/>
        </x:patternFill>
      </x:fill>
    </x:dxf>
    <x:dxf>
      <x:font>
        <x:b/>
        <x:color rgb="FF595959"/>
      </x:font>
      <x:fill>
        <x:patternFill patternType="solid">
          <x:bgColor rgb="FFE7E6E6"/>
        </x:patternFill>
      </x:fill>
    </x:dxf>
    <x:dxf>
      <x:font>
        <x:b/>
        <x:color rgb="FF9C0006"/>
      </x:font>
      <x:fill>
        <x:patternFill patternType="solid">
          <x:bgColor rgb="FFFFC7CE"/>
        </x:patternFill>
      </x:fill>
    </x:dxf>
    <x:dxf>
      <x:font>
        <x:b/>
        <x:color rgb="FF006100"/>
      </x:font>
      <x:fill>
        <x:patternFill patternType="solid">
          <x:bgColor rgb="FFC6EFCE"/>
        </x:patternFill>
      </x:fill>
    </x:dxf>
    <x:dxf>
      <x:font>
        <x:b/>
        <x:color rgb="FF006100"/>
      </x:font>
      <x:fill>
        <x:patternFill patternType="solid">
          <x:bgColor rgb="FFC6EFCE"/>
        </x:patternFill>
      </x:fill>
    </x:dxf>
    <x:dxf>
      <x:font>
        <x:b/>
        <x:color rgb="FF1F2937"/>
      </x:font>
      <x:fill>
        <x:patternFill patternType="solid">
          <x:bgColor rgb="FFDDEBF7"/>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5700"/>
      </x:font>
      <x:fill>
        <x:patternFill patternType="solid">
          <x:bgColor rgb="FFFCE4D6"/>
        </x:patternFill>
      </x:fill>
    </x:dxf>
    <x:dxf>
      <x:font>
        <x:b/>
        <x:color rgb="FF595959"/>
      </x:font>
      <x:fill>
        <x:patternFill patternType="solid">
          <x:bgColor rgb="FFE7E6E6"/>
        </x:patternFill>
      </x:fill>
    </x:dxf>
    <x:dxf>
      <x:font>
        <x:b/>
        <x:color rgb="FF595959"/>
      </x:font>
      <x:fill>
        <x:patternFill patternType="solid">
          <x:bgColor rgb="FFE7E6E6"/>
        </x:patternFill>
      </x:fill>
    </x:dxf>
    <x:dxf>
      <x:font>
        <x:b/>
        <x:color rgb="FF9C0006"/>
      </x:font>
      <x:fill>
        <x:patternFill patternType="solid">
          <x:bgColor rgb="FFFFC7CE"/>
        </x:patternFill>
      </x:fill>
    </x:dxf>
    <x:dxf>
      <x:font>
        <x:b/>
        <x:color rgb="FF006100"/>
      </x:font>
      <x:fill>
        <x:patternFill patternType="solid">
          <x:bgColor rgb="FFC6EFCE"/>
        </x:patternFill>
      </x:fill>
    </x:dxf>
    <x:dxf>
      <x:font>
        <x:b/>
        <x:color rgb="FF006100"/>
      </x:font>
      <x:fill>
        <x:patternFill patternType="solid">
          <x:bgColor rgb="FFC6EFCE"/>
        </x:patternFill>
      </x:fill>
    </x:dxf>
    <x:dxf>
      <x:font>
        <x:b/>
        <x:color rgb="FF1F2937"/>
      </x:font>
      <x:fill>
        <x:patternFill patternType="solid">
          <x:bgColor rgb="FFDDEBF7"/>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5700"/>
      </x:font>
      <x:fill>
        <x:patternFill patternType="solid">
          <x:bgColor rgb="FFFCE4D6"/>
        </x:patternFill>
      </x:fill>
    </x:dxf>
    <x:dxf>
      <x:font>
        <x:b/>
        <x:color rgb="FF595959"/>
      </x:font>
      <x:fill>
        <x:patternFill patternType="solid">
          <x:bgColor rgb="FFE7E6E6"/>
        </x:patternFill>
      </x:fill>
    </x:dxf>
    <x:dxf>
      <x:font>
        <x:b/>
        <x:color rgb="FF595959"/>
      </x:font>
      <x:fill>
        <x:patternFill patternType="solid">
          <x:bgColor rgb="FFE7E6E6"/>
        </x:patternFill>
      </x:fill>
    </x:dxf>
    <x:dxf>
      <x:font>
        <x:b/>
        <x:color rgb="FF9C0006"/>
      </x:font>
      <x:fill>
        <x:patternFill patternType="solid">
          <x:bgColor rgb="FFFFC7CE"/>
        </x:patternFill>
      </x:fill>
    </x:dxf>
    <x:dxf>
      <x:font>
        <x:b/>
        <x:color rgb="FF006100"/>
      </x:font>
      <x:fill>
        <x:patternFill patternType="solid">
          <x:bgColor rgb="FFC6EFCE"/>
        </x:patternFill>
      </x:fill>
    </x:dxf>
    <x:dxf>
      <x:font>
        <x:b/>
        <x:color rgb="FF006100"/>
      </x:font>
      <x:fill>
        <x:patternFill patternType="solid">
          <x:bgColor rgb="FFC6EFCE"/>
        </x:patternFill>
      </x:fill>
    </x:dxf>
    <x:dxf>
      <x:font>
        <x:b/>
        <x:color rgb="FF1F2937"/>
      </x:font>
      <x:fill>
        <x:patternFill patternType="solid">
          <x:bgColor rgb="FFDDEBF7"/>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5700"/>
      </x:font>
      <x:fill>
        <x:patternFill patternType="solid">
          <x:bgColor rgb="FFFCE4D6"/>
        </x:patternFill>
      </x:fill>
    </x:dxf>
    <x:dxf>
      <x:font>
        <x:b/>
        <x:color rgb="FF595959"/>
      </x:font>
      <x:fill>
        <x:patternFill patternType="solid">
          <x:bgColor rgb="FFE7E6E6"/>
        </x:patternFill>
      </x:fill>
    </x:dxf>
    <x:dxf>
      <x:font>
        <x:b/>
        <x:color rgb="FF595959"/>
      </x:font>
      <x:fill>
        <x:patternFill patternType="solid">
          <x:bgColor rgb="FFE7E6E6"/>
        </x:patternFill>
      </x:fill>
    </x:dxf>
    <x:dxf>
      <x:font>
        <x:b/>
        <x:color rgb="FF9C0006"/>
      </x:font>
      <x:fill>
        <x:patternFill patternType="solid">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51c11e23cc4561" /><Relationship Type="http://schemas.openxmlformats.org/officeDocument/2006/relationships/theme" Target="/xl/theme/theme1.xml" Id="R740f1cf2475b41f7" /><Relationship Type="http://schemas.openxmlformats.org/officeDocument/2006/relationships/sharedStrings" Target="/xl/sharedStrings.xml" Id="R70e0029530204b0f" /><Relationship Type="http://schemas.openxmlformats.org/officeDocument/2006/relationships/worksheet" Target="/xl/worksheets/sheet1.xml" Id="R772af03519a54b60" /><Relationship Type="http://schemas.openxmlformats.org/officeDocument/2006/relationships/worksheet" Target="/xl/worksheets/sheet2.xml" Id="R0b6bda6b61f240c2" /><Relationship Type="http://schemas.openxmlformats.org/officeDocument/2006/relationships/worksheet" Target="/xl/worksheets/sheet3.xml" Id="R2e0d4b315c844ba9" /><Relationship Type="http://schemas.openxmlformats.org/officeDocument/2006/relationships/worksheet" Target="/xl/worksheets/sheet4.xml" Id="R37fc9ba65e9a4f88" /><Relationship Type="http://schemas.openxmlformats.org/officeDocument/2006/relationships/worksheet" Target="/xl/worksheets/sheet5.xml" Id="R4fb535269a1a4c00" /><Relationship Type="http://schemas.openxmlformats.org/officeDocument/2006/relationships/worksheet" Target="/xl/worksheets/sheet6.xml" Id="R20942f533d9d4037" /><Relationship Type="http://schemas.openxmlformats.org/officeDocument/2006/relationships/worksheet" Target="/xl/worksheets/sheet7.xml" Id="R80b2405ad70146e2" /><Relationship Type="http://schemas.openxmlformats.org/officeDocument/2006/relationships/worksheet" Target="/xl/worksheets/sheet8.xml" Id="R430737196ec6426c" /></Relationships>
</file>

<file path=xl/drawings/_rels/drawing1.xml.rels>&#65279;<?xml version="1.0" encoding="utf-8"?><Relationships xmlns="http://schemas.openxmlformats.org/package/2006/relationships"><Relationship Type="http://schemas.openxmlformats.org/officeDocument/2006/relationships/chart" Target="/xl/drawings/charts/chart1.xml" Id="R050130f4cf2748d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Trạng thái công việc Sprint 1</a:t>
            </a:r>
          </a:p>
        </c:rich>
      </c:tx>
    </c:title>
    <c:plotArea>
      <c:barChart>
        <c:barDir val="col"/>
        <c:varyColors val="0"/>
        <c:ser>
          <c:idx val="0"/>
          <c:order val="0"/>
          <c:tx>
            <c:v>Số công việc</c:v>
          </c:tx>
          <c:cat>
            <c:strRef>
              <c:f>'Tổng quan'!$D$5:$D$10</c:f>
              <c:strCache>
                <c:ptCount val="0"/>
              </c:strCache>
            </c:strRef>
          </c:cat>
          <c:val>
            <c:numRef>
              <c:f>'Tổng quan'!$E$5:$E$10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50130f4cf2748d9"/>
        </a:graphicData>
      </a:graphic>
    </xdr:graphicFrame>
    <xdr:clientData/>
  </xdr:twoCellAnchor>
</xdr:wsDr>
</file>

<file path=xl/tables/table1.xml><?xml version="1.0" encoding="utf-8"?>
<x:table xmlns:x="http://schemas.openxmlformats.org/spreadsheetml/2006/main" id="1" name="Sprint1TasksTable" displayName="Sprint1TasksTable" ref="A4:K45" headerRowCount="1" totalsRowCount="0" totalsRowShown="0">
  <x:tableColumns count="11">
    <x:tableColumn id="1" name="Mã việc"/>
    <x:tableColumn id="2" name="User Story"/>
    <x:tableColumn id="3" name="Công việc"/>
    <x:tableColumn id="4" name="Người phụ trách"/>
    <x:tableColumn id="5" name="Vai trò"/>
    <x:tableColumn id="6" name="Trạng thái"/>
    <x:tableColumn id="7" name="Bắt đầu"/>
    <x:tableColumn id="8" name="Kết thúc"/>
    <x:tableColumn id="9" name="Bằng chứng"/>
    <x:tableColumn id="10" name="Ghi chú xác minh"/>
    <x:tableColumn id="11" name="Mức độ"/>
  </x:tableColumns>
  <x:tableStyleInfo name="TableStyleMedium2" showFirstColumn="0" showLastColumn="0" showRowStripes="1" showColumnStripes="0"/>
</x:table>
</file>

<file path=xl/tables/table2.xml><?xml version="1.0" encoding="utf-8"?>
<x:table xmlns:x="http://schemas.openxmlformats.org/spreadsheetml/2006/main" id="2" name="Sprint2Table" displayName="Sprint2Table" ref="A4:P24" headerRowCount="1" totalsRowCount="0" totalsRowShown="0">
  <x:tableColumns count="16">
    <x:tableColumn id="1" name="Mã"/>
    <x:tableColumn id="2" name="Jira"/>
    <x:tableColumn id="3" name="Epic"/>
    <x:tableColumn id="4" name="Tên User Story"/>
    <x:tableColumn id="5" name="Câu chuyện người dùng"/>
    <x:tableColumn id="6" name="Ưu tiên"/>
    <x:tableColumn id="7" name="Điểm"/>
    <x:tableColumn id="8" name="Sprint"/>
    <x:tableColumn id="9" name="Trạng thái Jira"/>
    <x:tableColumn id="10" name="Trạng thái đã xác minh"/>
    <x:tableColumn id="11" name="Người được giao trên Jira"/>
    <x:tableColumn id="12" name="Người thực hiện/xác minh"/>
    <x:tableColumn id="13" name="Tiêu chí chấp nhận"/>
    <x:tableColumn id="14" name="Nguồn"/>
    <x:tableColumn id="15" name="Ngày kết thúc Sprint"/>
    <x:tableColumn id="16" name="Ghi ch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419dc1c40cfb4a70" /></Relationships>
</file>

<file path=xl/worksheets/_rels/sheet3.xml.rels>&#65279;<?xml version="1.0" encoding="utf-8"?><Relationships xmlns="http://schemas.openxmlformats.org/package/2006/relationships"><Relationship Type="http://schemas.openxmlformats.org/officeDocument/2006/relationships/table" Target="/xl/tables/table1.xml" Id="Rac83545a097840ae" /></Relationships>
</file>

<file path=xl/worksheets/_rels/sheet8.xml.rels>&#65279;<?xml version="1.0" encoding="utf-8"?><Relationships xmlns="http://schemas.openxmlformats.org/package/2006/relationships"><Relationship Type="http://schemas.openxmlformats.org/officeDocument/2006/relationships/table" Target="/xl/tables/table2.xml" Id="Rbd1414acb247479c" /></Relationships>
</file>

<file path=xl/worksheets/sheet1.xml><?xml version="1.0" encoding="utf-8"?>
<x:worksheet xmlns:x="http://schemas.openxmlformats.org/spreadsheetml/2006/main">
  <x:sheetFormatPr defaultRowHeight="15"/>
  <x:cols>
    <x:col min="1" max="1" width="16" hidden="0" customWidth="1"/>
    <x:col min="2" max="2" width="28" hidden="0" customWidth="1"/>
    <x:col min="3" max="3" width="15" hidden="0" customWidth="1"/>
    <x:col min="4" max="4" width="15" hidden="0" customWidth="1"/>
    <x:col min="5" max="5" width="17" hidden="0" customWidth="1"/>
    <x:col min="6" max="6" width="28" hidden="0" customWidth="1"/>
    <x:col min="7" max="7" width="36" hidden="0" customWidth="1"/>
  </x:cols>
  <x:sheetData>
    <x:row r="1" ht="54" customHeight="1">
      <x:c r="A1" s="5" t="str">
        <x:v>HƯỚNG DẪN ĐỌC FILE
Theo dõi công việc, Daily Scrum, lỗi, rủi ro và bằng chứng</x:v>
      </x:c>
      <x:c r="B1" s="5"/>
      <x:c r="C1" s="5"/>
      <x:c r="D1" s="5"/>
      <x:c r="E1" s="5"/>
      <x:c r="F1" s="5"/>
      <x:c r="G1" s="5"/>
    </x:row>
    <x:row r="2" ht="54" customHeight="1">
      <x:c r="A2" s="5"/>
      <x:c r="B2" s="5"/>
      <x:c r="C2" s="5"/>
      <x:c r="D2" s="5"/>
      <x:c r="E2" s="5"/>
      <x:c r="F2" s="5"/>
      <x:c r="G2" s="5"/>
    </x:row>
    <x:row r="4" ht="32" customHeight="1">
      <x:c r="A4" s="11" t="str">
        <x:v>Màu</x:v>
      </x:c>
      <x:c r="B4" s="11" t="str">
        <x:v>Ý nghĩa</x:v>
      </x:c>
      <x:c r="C4" s="11" t="str">
        <x:v>Cách sử dụng</x:v>
      </x:c>
      <x:c r="D4" s="11" t="str">
        <x:v>Nguồn</x:v>
      </x:c>
      <x:c r="E4" s="11" t="str">
        <x:v>Cập nhật bởi</x:v>
      </x:c>
      <x:c r="F4" s="11" t="str">
        <x:v>Thời điểm</x:v>
      </x:c>
      <x:c r="G4" s="11" t="str">
        <x:v>Lưu ý</x:v>
      </x:c>
    </x:row>
    <x:row r="5">
      <x:c r="A5" s="20" t="str">
        <x:v>Xanh lá</x:v>
      </x:c>
      <x:c r="B5" s="17" t="str">
        <x:v>Hoàn thành và đã xác minh</x:v>
      </x:c>
      <x:c r="C5" s="17" t="str">
        <x:v>Có mã nguồn, kiểm thử hoặc demo</x:v>
      </x:c>
      <x:c r="D5" s="17" t="str">
        <x:v>Git/Jira/giao diện</x:v>
      </x:c>
      <x:c r="E5" s="17" t="str">
        <x:v>Người xác minh</x:v>
      </x:c>
      <x:c r="F5" s="17" t="str">
        <x:v>Sau khi kiểm tra</x:v>
      </x:c>
      <x:c r="G5" s="17" t="str">
        <x:v>Không chỉ dựa vào trạng thái Jira</x:v>
      </x:c>
    </x:row>
    <x:row r="6">
      <x:c r="A6" s="22" t="str">
        <x:v>Xanh dương</x:v>
      </x:c>
      <x:c r="B6" s="18" t="str">
        <x:v>Đã hỗ trợ hoặc có bằng chứng kỹ thuật</x:v>
      </x:c>
      <x:c r="C6" s="18" t="str">
        <x:v>Dùng cho hỗ trợ/debug/kiểm thử</x:v>
      </x:c>
      <x:c r="D6" s="18" t="str">
        <x:v>Git/Jira/biên bản</x:v>
      </x:c>
      <x:c r="E6" s="18" t="str">
        <x:v>Scrum Team</x:v>
      </x:c>
      <x:c r="F6" s="18" t="str">
        <x:v>Trong Sprint</x:v>
      </x:c>
      <x:c r="G6" s="18" t="str">
        <x:v>Không đồng nghĩa làm chính</x:v>
      </x:c>
    </x:row>
    <x:row r="7">
      <x:c r="A7" s="24" t="str">
        <x:v>Vàng</x:v>
      </x:c>
      <x:c r="B7" s="18" t="str">
        <x:v>Sơ khai hoặc đang thực hiện</x:v>
      </x:c>
      <x:c r="C7" s="18" t="str">
        <x:v>Chức năng có nhưng chưa hoàn thiện</x:v>
      </x:c>
      <x:c r="D7" s="18" t="str">
        <x:v>Mã nguồn/demo</x:v>
      </x:c>
      <x:c r="E7" s="18" t="str">
        <x:v>Người phụ trách</x:v>
      </x:c>
      <x:c r="F7" s="18" t="str">
        <x:v>Trong Sprint</x:v>
      </x:c>
      <x:c r="G7" s="18" t="str">
        <x:v>Cần kiểm thử thêm</x:v>
      </x:c>
    </x:row>
    <x:row r="8">
      <x:c r="A8" s="26" t="str">
        <x:v>Cam</x:v>
      </x:c>
      <x:c r="B8" s="18" t="str">
        <x:v>Chưa xác minh</x:v>
      </x:c>
      <x:c r="C8" s="18" t="str">
        <x:v>Có tên trên Jira nhưng thiếu minh chứng</x:v>
      </x:c>
      <x:c r="D8" s="18" t="str">
        <x:v>Jira</x:v>
      </x:c>
      <x:c r="E8" s="18" t="str">
        <x:v>Product Owner</x:v>
      </x:c>
      <x:c r="F8" s="18" t="str">
        <x:v>Khi rà soát</x:v>
      </x:c>
      <x:c r="G8" s="18" t="str">
        <x:v>Không tính là hoàn thành đã xác minh</x:v>
      </x:c>
    </x:row>
    <x:row r="9">
      <x:c r="A9" s="28" t="str">
        <x:v>Đỏ</x:v>
      </x:c>
      <x:c r="B9" s="18" t="str">
        <x:v>Chưa có sản phẩm bàn giao</x:v>
      </x:c>
      <x:c r="C9" s="18" t="str">
        <x:v>Công việc được giao nhưng chưa có kết quả</x:v>
      </x:c>
      <x:c r="D9" s="18" t="str">
        <x:v>Biên bản nhóm</x:v>
      </x:c>
      <x:c r="E9" s="18" t="str">
        <x:v>Product Owner</x:v>
      </x:c>
      <x:c r="F9" s="18" t="str">
        <x:v>Cuối Sprint</x:v>
      </x:c>
      <x:c r="G9" s="18" t="str">
        <x:v>Cách viết trung tính</x:v>
      </x:c>
    </x:row>
    <x:row r="10">
      <x:c r="A10" s="30" t="str">
        <x:v>Xám</x:v>
      </x:c>
      <x:c r="B10" s="18" t="str">
        <x:v>Kế hoạch Sprint 2</x:v>
      </x:c>
      <x:c r="C10" s="18" t="str">
        <x:v>Chưa thuộc phạm vi giữa kỳ</x:v>
      </x:c>
      <x:c r="D10" s="18" t="str">
        <x:v>Product Backlog</x:v>
      </x:c>
      <x:c r="E10" s="18" t="str">
        <x:v>Product Owner</x:v>
      </x:c>
      <x:c r="F10" s="18" t="str">
        <x:v>Sau 23/07</x:v>
      </x:c>
      <x:c r="G10" s="18" t="str">
        <x:v>Không dùng để tính kết quả Sprint 1</x:v>
      </x:c>
    </x:row>
    <x:row r="13" ht="26" customHeight="1">
      <x:c r="A13" s="33" t="str">
        <x:v>QUY ƯỚC SPRINT</x:v>
      </x:c>
      <x:c r="B13" s="33"/>
      <x:c r="C13" s="33"/>
      <x:c r="D13" s="33"/>
      <x:c r="E13" s="33"/>
      <x:c r="F13" s="33"/>
      <x:c r="G13" s="33"/>
    </x:row>
    <x:row r="14" ht="32" customHeight="1">
      <x:c r="A14" s="11" t="str">
        <x:v>Tên sử dụng</x:v>
      </x:c>
      <x:c r="B14" s="11" t="str">
        <x:v>Nguồn được gộp</x:v>
      </x:c>
      <x:c r="C14" s="11" t="str">
        <x:v>Bắt đầu</x:v>
      </x:c>
      <x:c r="D14" s="11" t="str">
        <x:v>Kết thúc</x:v>
      </x:c>
      <x:c r="E14" s="11" t="str">
        <x:v>Trạng thái</x:v>
      </x:c>
      <x:c r="F14" s="11" t="str">
        <x:v>Mục đích</x:v>
      </x:c>
      <x:c r="G14" s="11" t="str">
        <x:v>Ghi chú</x:v>
      </x:c>
    </x:row>
    <x:row r="15">
      <x:c r="A15" s="17" t="str">
        <x:v>Sprint 1</x:v>
      </x:c>
      <x:c r="B15" s="17" t="str">
        <x:v>Sprint cũ 1 + 2</x:v>
      </x:c>
      <x:c r="C15" s="34" t="n">
        <x:v>46205</x:v>
      </x:c>
      <x:c r="D15" s="34" t="n">
        <x:v>46226</x:v>
      </x:c>
      <x:c r="E15" s="17" t="str">
        <x:v>Giữa kỳ</x:v>
      </x:c>
      <x:c r="F15" s="17" t="str">
        <x:v>Phạm vi nộp giữa kỳ</x:v>
      </x:c>
      <x:c r="G15" s="17" t="str">
        <x:v>Chỉ ghi kết quả đã xác minh</x:v>
      </x:c>
    </x:row>
    <x:row r="16">
      <x:c r="A16" s="18" t="str">
        <x:v>Sprint 2</x:v>
      </x:c>
      <x:c r="B16" s="18" t="str">
        <x:v>Sprint cũ 3 + 4</x:v>
      </x:c>
      <x:c r="C16" s="35" t="n">
        <x:v>46227</x:v>
      </x:c>
      <x:c r="D16" s="35" t="n">
        <x:v>46254</x:v>
      </x:c>
      <x:c r="E16" s="18" t="str">
        <x:v>Dự kiến</x:v>
      </x:c>
      <x:c r="F16" s="18" t="str">
        <x:v>Tiếp tục hoàn thiện</x:v>
      </x:c>
      <x:c r="G16" s="18" t="str">
        <x:v>Các mốc có thể cập nhật</x:v>
      </x:c>
    </x:row>
  </x:sheetData>
  <x:mergeCells>
    <x:mergeCell ref="A1:G2"/>
    <x:mergeCell ref="A13:G13"/>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4" hidden="0" customWidth="1"/>
    <x:col min="3" max="3" width="4" hidden="0" customWidth="1"/>
    <x:col min="4" max="4" width="30" hidden="0" customWidth="1"/>
    <x:col min="5" max="5" width="14" hidden="0" customWidth="1"/>
    <x:col min="6" max="6" width="4"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54" customHeight="1">
      <x:c r="A1" s="5" t="str">
        <x:v>AGILE TRACKING
Theo dõi giữa kỳ Sprint 1</x:v>
      </x:c>
      <x:c r="B1" s="5"/>
      <x:c r="C1" s="5"/>
      <x:c r="D1" s="5"/>
      <x:c r="E1" s="5"/>
      <x:c r="F1" s="5"/>
      <x:c r="G1" s="5"/>
      <x:c r="H1" s="5"/>
      <x:c r="I1" s="5"/>
      <x:c r="J1" s="5"/>
      <x:c r="K1" s="5"/>
      <x:c r="L1" s="5"/>
      <x:c r="M1" s="5"/>
      <x:c r="N1" s="5"/>
    </x:row>
    <x:row r="2" ht="54" customHeight="1">
      <x:c r="A2" s="5"/>
      <x:c r="B2" s="5"/>
      <x:c r="C2" s="5"/>
      <x:c r="D2" s="5"/>
      <x:c r="E2" s="5"/>
      <x:c r="F2" s="5"/>
      <x:c r="G2" s="5"/>
      <x:c r="H2" s="5"/>
      <x:c r="I2" s="5"/>
      <x:c r="J2" s="5"/>
      <x:c r="K2" s="5"/>
      <x:c r="L2" s="5"/>
      <x:c r="M2" s="5"/>
      <x:c r="N2" s="5"/>
    </x:row>
    <x:row r="4" ht="32" customHeight="1">
      <x:c r="A4" s="11" t="str">
        <x:v>Chỉ số</x:v>
      </x:c>
      <x:c r="B4" s="11" t="str">
        <x:v>Giá trị</x:v>
      </x:c>
      <x:c r="C4" t="str"/>
      <x:c r="D4" s="11" t="str">
        <x:v>Trạng thái</x:v>
      </x:c>
      <x:c r="E4" s="11" t="str">
        <x:v>Số công việc</x:v>
      </x:c>
    </x:row>
    <x:row r="5">
      <x:c r="A5" s="17" t="str">
        <x:v>Tổng công việc Sprint 1</x:v>
      </x:c>
      <x:c r="B5" s="40" t="n">
        <x:f>COUNTA('Công việc Sprint 1'!$A$5:$A$60)</x:f>
        <x:v>41</x:v>
      </x:c>
      <x:c r="C5" t="str"/>
      <x:c r="D5" s="17" t="str">
        <x:v>Hoàn thành</x:v>
      </x:c>
      <x:c r="E5" s="17" t="n">
        <x:f>COUNTIF('Công việc Sprint 1'!$F$5:$F$60,D5)</x:f>
        <x:v>22</x:v>
      </x:c>
    </x:row>
    <x:row r="6">
      <x:c r="A6" s="18" t="str">
        <x:v>Công việc hoàn thành</x:v>
      </x:c>
      <x:c r="B6" s="41" t="n">
        <x:f>COUNTIF('Công việc Sprint 1'!$F$5:$F$60,"Hoàn thành")</x:f>
        <x:v>22</x:v>
      </x:c>
      <x:c r="C6" t="str"/>
      <x:c r="D6" s="18" t="str">
        <x:v>Đang thực hiện</x:v>
      </x:c>
      <x:c r="E6" s="18" t="n">
        <x:f>COUNTIF('Công việc Sprint 1'!$F$5:$F$60,D6)</x:f>
        <x:v>5</x:v>
      </x:c>
    </x:row>
    <x:row r="7">
      <x:c r="A7" s="18" t="str">
        <x:v>Công việc đang thực hiện</x:v>
      </x:c>
      <x:c r="B7" s="41" t="n">
        <x:f>COUNTIF('Công việc Sprint 1'!$F$5:$F$60,"Đang thực hiện")</x:f>
        <x:v>5</x:v>
      </x:c>
      <x:c r="C7" t="str"/>
      <x:c r="D7" s="18" t="str">
        <x:v>Đã hỗ trợ</x:v>
      </x:c>
      <x:c r="E7" s="18" t="n">
        <x:f>COUNTIF('Công việc Sprint 1'!$F$5:$F$60,D7)</x:f>
        <x:v>1</x:v>
      </x:c>
    </x:row>
    <x:row r="8">
      <x:c r="A8" s="18" t="str">
        <x:v>Chưa xác minh/bàn giao</x:v>
      </x:c>
      <x:c r="B8" s="41" t="n">
        <x:f>COUNTIF('Công việc Sprint 1'!$F$5:$F$60,"Chưa xác minh")+COUNTIF('Công việc Sprint 1'!$F$5:$F$60,"Chưa có sản phẩm bàn giao")</x:f>
        <x:v>8</x:v>
      </x:c>
      <x:c r="C8" t="str"/>
      <x:c r="D8" s="18" t="str">
        <x:v>Đã kiểm thử cơ bản</x:v>
      </x:c>
      <x:c r="E8" s="18" t="n">
        <x:f>COUNTIF('Công việc Sprint 1'!$F$5:$F$60,D8)</x:f>
        <x:v>5</x:v>
      </x:c>
    </x:row>
    <x:row r="9">
      <x:c r="A9" s="18" t="str">
        <x:v>Số buổi cập nhật chính</x:v>
      </x:c>
      <x:c r="B9" s="41" t="n">
        <x:v>8</x:v>
      </x:c>
      <x:c r="C9" t="str"/>
      <x:c r="D9" s="18" t="str">
        <x:v>Chưa có sản phẩm bàn giao</x:v>
      </x:c>
      <x:c r="E9" s="18" t="n">
        <x:f>COUNTIF('Công việc Sprint 1'!$F$5:$F$60,D9)</x:f>
        <x:v>4</x:v>
      </x:c>
    </x:row>
    <x:row r="10">
      <x:c r="A10" s="18" t="str"/>
      <x:c r="B10" s="18"/>
      <x:c r="C10" t="str"/>
      <x:c r="D10" s="18" t="str">
        <x:v>Chưa xác minh</x:v>
      </x:c>
      <x:c r="E10" s="18" t="n">
        <x:f>COUNTIF('Công việc Sprint 1'!$F$5:$F$60,D10)</x:f>
        <x:v>4</x:v>
      </x:c>
    </x:row>
    <x:row r="12" ht="26" customHeight="1">
      <x:c r="A12" s="33" t="str">
        <x:v>NGUYÊN TẮC XÁC MINH</x:v>
      </x:c>
      <x:c r="B12" s="33"/>
      <x:c r="C12" s="33"/>
      <x:c r="D12" s="33"/>
      <x:c r="E12" s="33"/>
    </x:row>
    <x:row r="13">
      <x:c r="A13" s="44" t="str">
        <x:v>Git xác nhận 79 commit trong giai đoạn 04/07-23/07 dưới tên Huỳnh Lê Thành Nhân/huynh. Jira có 50 issue nhưng trạng thái và người được giao không tự động chứng minh người đó đã trực tiếp viết mã. Các công việc thiếu sản phẩm bàn giao được giữ ở trạng thái chưa xác minh.</x:v>
      </x:c>
      <x:c r="B13" s="44"/>
      <x:c r="C13" s="44"/>
      <x:c r="D13" s="44"/>
      <x:c r="E13" s="44"/>
    </x:row>
    <x:row r="14">
      <x:c r="A14" s="44"/>
      <x:c r="B14" s="44"/>
      <x:c r="C14" s="44"/>
      <x:c r="D14" s="44"/>
      <x:c r="E14" s="44"/>
    </x:row>
    <x:row r="15">
      <x:c r="A15" s="44"/>
      <x:c r="B15" s="44"/>
      <x:c r="C15" s="44"/>
      <x:c r="D15" s="44"/>
      <x:c r="E15" s="44"/>
    </x:row>
    <x:row r="16">
      <x:c r="A16" s="44"/>
      <x:c r="B16" s="44"/>
      <x:c r="C16" s="44"/>
      <x:c r="D16" s="44"/>
      <x:c r="E16" s="44"/>
    </x:row>
    <x:row r="17">
      <x:c r="A17" s="44"/>
      <x:c r="B17" s="44"/>
      <x:c r="C17" s="44"/>
      <x:c r="D17" s="44"/>
      <x:c r="E17" s="44"/>
    </x:row>
  </x:sheetData>
  <x:mergeCells>
    <x:mergeCell ref="A1:N2"/>
    <x:mergeCell ref="A12:E12"/>
    <x:mergeCell ref="A13:E17"/>
  </x:mergeCells>
  <x:conditionalFormatting sqref="D5:D10">
    <x:cfRule type="containsText" dxfId="0" priority="1" operator="containsText" text="Hoàn thành"/>
    <x:cfRule type="containsText" dxfId="1" priority="2" operator="containsText" text="Đã kiểm thử"/>
    <x:cfRule type="containsText" dxfId="2" priority="3" operator="containsText" text="Đã hỗ trợ"/>
    <x:cfRule type="containsText" dxfId="3" priority="4" operator="containsText" text="Sơ khai"/>
    <x:cfRule type="containsText" dxfId="4" priority="5" operator="containsText" text="Đang"/>
    <x:cfRule type="containsText" dxfId="5" priority="6" operator="containsText" text="Chưa xác minh"/>
    <x:cfRule type="containsText" dxfId="6" priority="7" operator="containsText" text="Cần làm"/>
    <x:cfRule type="containsText" dxfId="7" priority="8" operator="containsText" text="Dự kiến"/>
    <x:cfRule type="containsText" dxfId="8" priority="9" operator="containsText" text="Chưa có sản phẩm"/>
  </x:conditionalFormatting>
  <x:pageMargins left="0.7" right="0.7" top="0.75" bottom="0.75" header="0.3" footer="0.3"/>
  <x:drawing xmlns:r="http://schemas.openxmlformats.org/officeDocument/2006/relationships" r:id="R419dc1c40cfb4a70"/>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48" hidden="0" customWidth="1"/>
    <x:col min="4" max="4" width="28" hidden="0" customWidth="1"/>
    <x:col min="5" max="5" width="22" hidden="0" customWidth="1"/>
    <x:col min="6" max="6" width="25" hidden="0" customWidth="1"/>
    <x:col min="7" max="7" width="14" hidden="0" customWidth="1"/>
    <x:col min="8" max="8" width="14" hidden="0" customWidth="1"/>
    <x:col min="9" max="9" width="38" hidden="0" customWidth="1"/>
    <x:col min="10" max="10" width="40" hidden="0" customWidth="1"/>
    <x:col min="11" max="11" width="20" hidden="0" customWidth="1"/>
  </x:cols>
  <x:sheetData>
    <x:row r="1" ht="54" customHeight="1">
      <x:c r="A1" s="5" t="str">
        <x:v>CÔNG VIỆC SPRINT 1
Phân rã theo người thực hiện thực tế, không chia đều hình thức</x:v>
      </x:c>
      <x:c r="B1" s="5"/>
      <x:c r="C1" s="5"/>
      <x:c r="D1" s="5"/>
      <x:c r="E1" s="5"/>
      <x:c r="F1" s="5"/>
      <x:c r="G1" s="5"/>
      <x:c r="H1" s="5"/>
      <x:c r="I1" s="5"/>
      <x:c r="J1" s="5"/>
      <x:c r="K1" s="5"/>
    </x:row>
    <x:row r="2" ht="54" customHeight="1">
      <x:c r="A2" s="5"/>
      <x:c r="B2" s="5"/>
      <x:c r="C2" s="5"/>
      <x:c r="D2" s="5"/>
      <x:c r="E2" s="5"/>
      <x:c r="F2" s="5"/>
      <x:c r="G2" s="5"/>
      <x:c r="H2" s="5"/>
      <x:c r="I2" s="5"/>
      <x:c r="J2" s="5"/>
      <x:c r="K2" s="5"/>
    </x:row>
    <x:row r="4" ht="32" customHeight="1">
      <x:c r="A4" s="11" t="str">
        <x:v>Mã việc</x:v>
      </x:c>
      <x:c r="B4" s="11" t="str">
        <x:v>User Story</x:v>
      </x:c>
      <x:c r="C4" s="11" t="str">
        <x:v>Công việc</x:v>
      </x:c>
      <x:c r="D4" s="11" t="str">
        <x:v>Người phụ trách</x:v>
      </x:c>
      <x:c r="E4" s="11" t="str">
        <x:v>Vai trò</x:v>
      </x:c>
      <x:c r="F4" s="11" t="str">
        <x:v>Trạng thái</x:v>
      </x:c>
      <x:c r="G4" s="11" t="str">
        <x:v>Bắt đầu</x:v>
      </x:c>
      <x:c r="H4" s="11" t="str">
        <x:v>Kết thúc</x:v>
      </x:c>
      <x:c r="I4" s="11" t="str">
        <x:v>Bằng chứng</x:v>
      </x:c>
      <x:c r="J4" s="11" t="str">
        <x:v>Ghi chú xác minh</x:v>
      </x:c>
      <x:c r="K4" s="11" t="str">
        <x:v>Mức độ</x:v>
      </x:c>
    </x:row>
    <x:row r="5">
      <x:c r="A5" s="17" t="str">
        <x:v>CV-001</x:v>
      </x:c>
      <x:c r="B5" s="17" t="str">
        <x:v>US01</x:v>
      </x:c>
      <x:c r="C5" s="17" t="str">
        <x:v>Phân tích, triển khai và tích hợp: Đăng nhập người dùng an toàn</x:v>
      </x:c>
      <x:c r="D5" s="17" t="str">
        <x:v>Huỳnh Lê Thành Nhân</x:v>
      </x:c>
      <x:c r="E5" s="17" t="str">
        <x:v>Thực hiện chính</x:v>
      </x:c>
      <x:c r="F5" s="17" t="str">
        <x:v>Hoàn thành</x:v>
      </x:c>
      <x:c r="G5" s="34" t="n">
        <x:v>46205</x:v>
      </x:c>
      <x:c r="H5" s="34" t="n">
        <x:v>46211</x:v>
      </x:c>
      <x:c r="I5" s="17" t="str">
        <x:v>Jira</x:v>
      </x:c>
      <x:c r="J5" s="17" t="str">
        <x:v>Hoàn thành và có thể demo</x:v>
      </x:c>
      <x:c r="K5" s="17" t="str">
        <x:v>Đóng góp chính</x:v>
      </x:c>
    </x:row>
    <x:row r="6">
      <x:c r="A6" s="18" t="str">
        <x:v>CV-002</x:v>
      </x:c>
      <x:c r="B6" s="18" t="str">
        <x:v>US02</x:v>
      </x:c>
      <x:c r="C6" s="18" t="str">
        <x:v>Phân tích, triển khai và tích hợp: Tự động gia hạn phiên đăng nhập</x:v>
      </x:c>
      <x:c r="D6" s="18" t="str">
        <x:v>Huỳnh Lê Thành Nhân</x:v>
      </x:c>
      <x:c r="E6" s="18" t="str">
        <x:v>Thực hiện chính</x:v>
      </x:c>
      <x:c r="F6" s="18" t="str">
        <x:v>Hoàn thành</x:v>
      </x:c>
      <x:c r="G6" s="35" t="n">
        <x:v>46205</x:v>
      </x:c>
      <x:c r="H6" s="35" t="n">
        <x:v>46211</x:v>
      </x:c>
      <x:c r="I6" s="18" t="str">
        <x:v>Jira</x:v>
      </x:c>
      <x:c r="J6" s="18" t="str">
        <x:v>Hoàn thành phần chính</x:v>
      </x:c>
      <x:c r="K6" s="18" t="str">
        <x:v>Đóng góp chính</x:v>
      </x:c>
    </x:row>
    <x:row r="7">
      <x:c r="A7" s="18" t="str">
        <x:v>CV-003</x:v>
      </x:c>
      <x:c r="B7" s="18" t="str">
        <x:v>US03</x:v>
      </x:c>
      <x:c r="C7" s="18" t="str">
        <x:v>Phân tích, triển khai và tích hợp: Thiết lập danh mục vai trò</x:v>
      </x:c>
      <x:c r="D7" s="18" t="str">
        <x:v>Huỳnh Lê Thành Nhân</x:v>
      </x:c>
      <x:c r="E7" s="18" t="str">
        <x:v>Thực hiện chính</x:v>
      </x:c>
      <x:c r="F7" s="18" t="str">
        <x:v>Hoàn thành</x:v>
      </x:c>
      <x:c r="G7" s="35" t="n">
        <x:v>46205</x:v>
      </x:c>
      <x:c r="H7" s="35" t="n">
        <x:v>46211</x:v>
      </x:c>
      <x:c r="I7" s="18" t="str">
        <x:v>Jira</x:v>
      </x:c>
      <x:c r="J7" s="18" t="str">
        <x:v>Hoàn thành phần chính</x:v>
      </x:c>
      <x:c r="K7" s="18" t="str">
        <x:v>Đóng góp chính</x:v>
      </x:c>
    </x:row>
    <x:row r="8">
      <x:c r="A8" s="18" t="str">
        <x:v>CV-004</x:v>
      </x:c>
      <x:c r="B8" s="18" t="str">
        <x:v>US04</x:v>
      </x:c>
      <x:c r="C8" s="18" t="str">
        <x:v>Phân tích, triển khai và tích hợp: Kiểm soát truy cập theo vai trò</x:v>
      </x:c>
      <x:c r="D8" s="18" t="str">
        <x:v>Huỳnh Lê Thành Nhân</x:v>
      </x:c>
      <x:c r="E8" s="18" t="str">
        <x:v>Thực hiện chính</x:v>
      </x:c>
      <x:c r="F8" s="18" t="str">
        <x:v>Hoàn thành</x:v>
      </x:c>
      <x:c r="G8" s="35" t="n">
        <x:v>46205</x:v>
      </x:c>
      <x:c r="H8" s="35" t="n">
        <x:v>46211</x:v>
      </x:c>
      <x:c r="I8" s="18" t="str">
        <x:v>Jira</x:v>
      </x:c>
      <x:c r="J8" s="18" t="str">
        <x:v>Hoàn thành phần chính</x:v>
      </x:c>
      <x:c r="K8" s="18" t="str">
        <x:v>Đóng góp chính</x:v>
      </x:c>
    </x:row>
    <x:row r="9">
      <x:c r="A9" s="18" t="str">
        <x:v>CV-005</x:v>
      </x:c>
      <x:c r="B9" s="18" t="str">
        <x:v>US05</x:v>
      </x:c>
      <x:c r="C9" s="18" t="str">
        <x:v>Phân tích, triển khai và tích hợp: Tạo hồ sơ nhân viên</x:v>
      </x:c>
      <x:c r="D9" s="18" t="str">
        <x:v>Huỳnh Lê Thành Nhân</x:v>
      </x:c>
      <x:c r="E9" s="18" t="str">
        <x:v>Thực hiện chính</x:v>
      </x:c>
      <x:c r="F9" s="18" t="str">
        <x:v>Đang thực hiện</x:v>
      </x:c>
      <x:c r="G9" s="35" t="n">
        <x:v>46205</x:v>
      </x:c>
      <x:c r="H9" s="35" t="n">
        <x:v>46211</x:v>
      </x:c>
      <x:c r="I9" s="18" t="str">
        <x:v>Jira; Jira được cập nhật sau mốc kết thúc Sprint 1</x:v>
      </x:c>
      <x:c r="J9" s="18" t="str">
        <x:v>Sơ khai tại cuối Sprint 1</x:v>
      </x:c>
      <x:c r="K9" s="18" t="str">
        <x:v>Đóng góp chính</x:v>
      </x:c>
    </x:row>
    <x:row r="10">
      <x:c r="A10" s="18" t="str">
        <x:v>CV-006</x:v>
      </x:c>
      <x:c r="B10" s="18" t="str">
        <x:v>US10</x:v>
      </x:c>
      <x:c r="C10" s="18" t="str">
        <x:v>Phân tích, triển khai và tích hợp: Phê duyệt chuyển phòng ban</x:v>
      </x:c>
      <x:c r="D10" s="18" t="str">
        <x:v>Huỳnh Lê Thành Nhân</x:v>
      </x:c>
      <x:c r="E10" s="18" t="str">
        <x:v>Thực hiện chính</x:v>
      </x:c>
      <x:c r="F10" s="18" t="str">
        <x:v>Hoàn thành</x:v>
      </x:c>
      <x:c r="G10" s="35" t="n">
        <x:v>46205</x:v>
      </x:c>
      <x:c r="H10" s="35" t="n">
        <x:v>46211</x:v>
      </x:c>
      <x:c r="I10" s="18" t="str">
        <x:v>Jira</x:v>
      </x:c>
      <x:c r="J10" s="18" t="str">
        <x:v>Hoàn thành theo mã nguồn, cần kiểm thử lại</x:v>
      </x:c>
      <x:c r="K10" s="18" t="str">
        <x:v>Đóng góp chính</x:v>
      </x:c>
    </x:row>
    <x:row r="11">
      <x:c r="A11" s="18" t="str">
        <x:v>CV-007</x:v>
      </x:c>
      <x:c r="B11" s="18" t="str">
        <x:v>US11</x:v>
      </x:c>
      <x:c r="C11" s="18" t="str">
        <x:v>Phân tích, triển khai và tích hợp: Tạo dự án theo các bước hướng dẫn</x:v>
      </x:c>
      <x:c r="D11" s="18" t="str">
        <x:v>Huỳnh Lê Thành Nhân</x:v>
      </x:c>
      <x:c r="E11" s="18" t="str">
        <x:v>Thực hiện chính</x:v>
      </x:c>
      <x:c r="F11" s="18" t="str">
        <x:v>Hoàn thành</x:v>
      </x:c>
      <x:c r="G11" s="35" t="n">
        <x:v>46205</x:v>
      </x:c>
      <x:c r="H11" s="35" t="n">
        <x:v>46211</x:v>
      </x:c>
      <x:c r="I11" s="18" t="str">
        <x:v>Jira</x:v>
      </x:c>
      <x:c r="J11" s="18" t="str">
        <x:v>Hoàn thành phần chính theo mã nguồn</x:v>
      </x:c>
      <x:c r="K11" s="18" t="str">
        <x:v>Đóng góp chính</x:v>
      </x:c>
    </x:row>
    <x:row r="12">
      <x:c r="A12" s="18" t="str">
        <x:v>CV-008</x:v>
      </x:c>
      <x:c r="B12" s="18" t="str">
        <x:v>US12</x:v>
      </x:c>
      <x:c r="C12" s="18" t="str">
        <x:v>Phân tích, triển khai và tích hợp: Phân công thành viên vào dự án</x:v>
      </x:c>
      <x:c r="D12" s="18" t="str">
        <x:v>Huỳnh Lê Thành Nhân</x:v>
      </x:c>
      <x:c r="E12" s="18" t="str">
        <x:v>Thực hiện chính</x:v>
      </x:c>
      <x:c r="F12" s="18" t="str">
        <x:v>Hoàn thành</x:v>
      </x:c>
      <x:c r="G12" s="35" t="n">
        <x:v>46205</x:v>
      </x:c>
      <x:c r="H12" s="35" t="n">
        <x:v>46211</x:v>
      </x:c>
      <x:c r="I12" s="18" t="str">
        <x:v>Jira</x:v>
      </x:c>
      <x:c r="J12" s="18" t="str">
        <x:v>Hoàn thành phần chính theo mã nguồn</x:v>
      </x:c>
      <x:c r="K12" s="18" t="str">
        <x:v>Đóng góp chính</x:v>
      </x:c>
    </x:row>
    <x:row r="13">
      <x:c r="A13" s="18" t="str">
        <x:v>CV-009</x:v>
      </x:c>
      <x:c r="B13" s="18" t="str">
        <x:v>US14</x:v>
      </x:c>
      <x:c r="C13" s="18" t="str">
        <x:v>Phân tích, triển khai và tích hợp: Tạo và chỉnh sửa công việc</x:v>
      </x:c>
      <x:c r="D13" s="18" t="str">
        <x:v>Huỳnh Lê Thành Nhân</x:v>
      </x:c>
      <x:c r="E13" s="18" t="str">
        <x:v>Thực hiện chính</x:v>
      </x:c>
      <x:c r="F13" s="18" t="str">
        <x:v>Hoàn thành</x:v>
      </x:c>
      <x:c r="G13" s="35" t="n">
        <x:v>46212</x:v>
      </x:c>
      <x:c r="H13" s="35" t="n">
        <x:v>46218</x:v>
      </x:c>
      <x:c r="I13" s="18" t="str">
        <x:v>Jira</x:v>
      </x:c>
      <x:c r="J13" s="18" t="str">
        <x:v>Hoàn thành phần chính theo mã nguồn</x:v>
      </x:c>
      <x:c r="K13" s="18" t="str">
        <x:v>Đóng góp chính</x:v>
      </x:c>
    </x:row>
    <x:row r="14">
      <x:c r="A14" s="18" t="str">
        <x:v>CV-010</x:v>
      </x:c>
      <x:c r="B14" s="18" t="str">
        <x:v>US15</x:v>
      </x:c>
      <x:c r="C14" s="18" t="str">
        <x:v>Phân tích, triển khai và tích hợp: Theo dõi công việc trên bảng Kanban</x:v>
      </x:c>
      <x:c r="D14" s="18" t="str">
        <x:v>Huỳnh Lê Thành Nhân</x:v>
      </x:c>
      <x:c r="E14" s="18" t="str">
        <x:v>Thực hiện chính</x:v>
      </x:c>
      <x:c r="F14" s="18" t="str">
        <x:v>Hoàn thành</x:v>
      </x:c>
      <x:c r="G14" s="35" t="n">
        <x:v>46212</x:v>
      </x:c>
      <x:c r="H14" s="35" t="n">
        <x:v>46218</x:v>
      </x:c>
      <x:c r="I14" s="18" t="str">
        <x:v>Jira</x:v>
      </x:c>
      <x:c r="J14" s="18" t="str">
        <x:v>Hoàn thành và có thể demo</x:v>
      </x:c>
      <x:c r="K14" s="18" t="str">
        <x:v>Đóng góp chính</x:v>
      </x:c>
    </x:row>
    <x:row r="15">
      <x:c r="A15" s="18" t="str">
        <x:v>CV-011</x:v>
      </x:c>
      <x:c r="B15" s="18" t="str">
        <x:v>US16</x:v>
      </x:c>
      <x:c r="C15" s="18" t="str">
        <x:v>Phân tích, triển khai và tích hợp: Theo dõi quan hệ phụ thuộc công việc</x:v>
      </x:c>
      <x:c r="D15" s="18" t="str">
        <x:v>Huỳnh Lê Thành Nhân</x:v>
      </x:c>
      <x:c r="E15" s="18" t="str">
        <x:v>Thực hiện chính</x:v>
      </x:c>
      <x:c r="F15" s="18" t="str">
        <x:v>Chưa xác minh</x:v>
      </x:c>
      <x:c r="G15" s="35" t="n">
        <x:v>46212</x:v>
      </x:c>
      <x:c r="H15" s="35" t="n">
        <x:v>46218</x:v>
      </x:c>
      <x:c r="I15" s="18" t="str">
        <x:v>Jira</x:v>
      </x:c>
      <x:c r="J15" s="18" t="str">
        <x:v>Có sơ đồ và mô hình phụ thuộc</x:v>
      </x:c>
      <x:c r="K15" s="18" t="str">
        <x:v>Đóng góp chính</x:v>
      </x:c>
    </x:row>
    <x:row r="16">
      <x:c r="A16" s="18" t="str">
        <x:v>CV-012</x:v>
      </x:c>
      <x:c r="B16" s="18" t="str">
        <x:v>US17</x:v>
      </x:c>
      <x:c r="C16" s="18" t="str">
        <x:v>Phân tích, triển khai và tích hợp: Lọc danh sách yêu cầu nâng cao</x:v>
      </x:c>
      <x:c r="D16" s="18" t="str">
        <x:v>Huỳnh Lê Thành Nhân</x:v>
      </x:c>
      <x:c r="E16" s="18" t="str">
        <x:v>Thực hiện chính</x:v>
      </x:c>
      <x:c r="F16" s="18" t="str">
        <x:v>Đang thực hiện</x:v>
      </x:c>
      <x:c r="G16" s="35" t="n">
        <x:v>46212</x:v>
      </x:c>
      <x:c r="H16" s="35" t="n">
        <x:v>46218</x:v>
      </x:c>
      <x:c r="I16" s="18" t="str">
        <x:v>Jira</x:v>
      </x:c>
      <x:c r="J16" s="18" t="str">
        <x:v>Đang hoàn thiện</x:v>
      </x:c>
      <x:c r="K16" s="18" t="str">
        <x:v>Đóng góp chính</x:v>
      </x:c>
    </x:row>
    <x:row r="17">
      <x:c r="A17" s="18" t="str">
        <x:v>CV-013</x:v>
      </x:c>
      <x:c r="B17" s="18" t="str">
        <x:v>US18</x:v>
      </x:c>
      <x:c r="C17" s="18" t="str">
        <x:v>Phân tích, triển khai và tích hợp: Phân rã yêu cầu thành công việc nhỏ</x:v>
      </x:c>
      <x:c r="D17" s="18" t="str">
        <x:v>Huỳnh Lê Thành Nhân</x:v>
      </x:c>
      <x:c r="E17" s="18" t="str">
        <x:v>Thực hiện chính</x:v>
      </x:c>
      <x:c r="F17" s="18" t="str">
        <x:v>Chưa xác minh</x:v>
      </x:c>
      <x:c r="G17" s="35" t="n">
        <x:v>46212</x:v>
      </x:c>
      <x:c r="H17" s="35" t="n">
        <x:v>46218</x:v>
      </x:c>
      <x:c r="I17" s="18" t="str">
        <x:v>Jira</x:v>
      </x:c>
      <x:c r="J17" s="18" t="str">
        <x:v>Chưa xác minh</x:v>
      </x:c>
      <x:c r="K17" s="18" t="str">
        <x:v>Đóng góp chính</x:v>
      </x:c>
    </x:row>
    <x:row r="18">
      <x:c r="A18" s="18" t="str">
        <x:v>CV-014</x:v>
      </x:c>
      <x:c r="B18" s="18" t="str">
        <x:v>US19</x:v>
      </x:c>
      <x:c r="C18" s="18" t="str">
        <x:v>Phân tích, triển khai và tích hợp: Trao đổi bằng luồng bình luận</x:v>
      </x:c>
      <x:c r="D18" s="18" t="str">
        <x:v>Huỳnh Lê Thành Nhân</x:v>
      </x:c>
      <x:c r="E18" s="18" t="str">
        <x:v>Thực hiện chính</x:v>
      </x:c>
      <x:c r="F18" s="18" t="str">
        <x:v>Hoàn thành</x:v>
      </x:c>
      <x:c r="G18" s="35" t="n">
        <x:v>46212</x:v>
      </x:c>
      <x:c r="H18" s="35" t="n">
        <x:v>46218</x:v>
      </x:c>
      <x:c r="I18" s="18" t="str">
        <x:v>Jira</x:v>
      </x:c>
      <x:c r="J18" s="18" t="str">
        <x:v>Hoàn thành phần chính theo mã nguồn</x:v>
      </x:c>
      <x:c r="K18" s="18" t="str">
        <x:v>Đóng góp chính</x:v>
      </x:c>
    </x:row>
    <x:row r="19">
      <x:c r="A19" s="18" t="str">
        <x:v>CV-015</x:v>
      </x:c>
      <x:c r="B19" s="18" t="str">
        <x:v>US20</x:v>
      </x:c>
      <x:c r="C19" s="18" t="str">
        <x:v>Phân tích, triển khai và tích hợp: Thông báo khi người dùng được nhắc tên</x:v>
      </x:c>
      <x:c r="D19" s="18" t="str">
        <x:v>Huỳnh Lê Thành Nhân</x:v>
      </x:c>
      <x:c r="E19" s="18" t="str">
        <x:v>Thực hiện chính</x:v>
      </x:c>
      <x:c r="F19" s="18" t="str">
        <x:v>Đang thực hiện</x:v>
      </x:c>
      <x:c r="G19" s="35" t="n">
        <x:v>46212</x:v>
      </x:c>
      <x:c r="H19" s="35" t="n">
        <x:v>46218</x:v>
      </x:c>
      <x:c r="I19" s="18" t="str">
        <x:v>Jira</x:v>
      </x:c>
      <x:c r="J19" s="18" t="str">
        <x:v>Sơ khai</x:v>
      </x:c>
      <x:c r="K19" s="18" t="str">
        <x:v>Đóng góp chính</x:v>
      </x:c>
    </x:row>
    <x:row r="20">
      <x:c r="A20" s="18" t="str">
        <x:v>CV-016</x:v>
      </x:c>
      <x:c r="B20" s="18" t="str">
        <x:v>US21</x:v>
      </x:c>
      <x:c r="C20" s="18" t="str">
        <x:v>Phân tích, triển khai và tích hợp: Bảo vệ tệp đính kèm công việc</x:v>
      </x:c>
      <x:c r="D20" s="18" t="str">
        <x:v>Huỳnh Lê Thành Nhân</x:v>
      </x:c>
      <x:c r="E20" s="18" t="str">
        <x:v>Thực hiện chính</x:v>
      </x:c>
      <x:c r="F20" s="18" t="str">
        <x:v>Đang thực hiện</x:v>
      </x:c>
      <x:c r="G20" s="35" t="n">
        <x:v>46212</x:v>
      </x:c>
      <x:c r="H20" s="35" t="n">
        <x:v>46218</x:v>
      </x:c>
      <x:c r="I20" s="18" t="str">
        <x:v>Jira</x:v>
      </x:c>
      <x:c r="J20" s="18" t="str">
        <x:v>Sơ khai</x:v>
      </x:c>
      <x:c r="K20" s="18" t="str">
        <x:v>Đóng góp chính</x:v>
      </x:c>
    </x:row>
    <x:row r="21">
      <x:c r="A21" s="18" t="str">
        <x:v>CV-017</x:v>
      </x:c>
      <x:c r="B21" s="18" t="str">
        <x:v>US22</x:v>
      </x:c>
      <x:c r="C21" s="18" t="str">
        <x:v>Phân tích, triển khai và tích hợp: Tải nhiều tài liệu cùng lúc</x:v>
      </x:c>
      <x:c r="D21" s="18" t="str">
        <x:v>Huỳnh Lê Thành Nhân</x:v>
      </x:c>
      <x:c r="E21" s="18" t="str">
        <x:v>Thực hiện chính</x:v>
      </x:c>
      <x:c r="F21" s="18" t="str">
        <x:v>Chưa xác minh</x:v>
      </x:c>
      <x:c r="G21" s="35" t="n">
        <x:v>46212</x:v>
      </x:c>
      <x:c r="H21" s="35" t="n">
        <x:v>46218</x:v>
      </x:c>
      <x:c r="I21" s="18" t="str">
        <x:v>Jira</x:v>
      </x:c>
      <x:c r="J21" s="18" t="str">
        <x:v>Có mã nguồn, chưa xác minh bằng demo</x:v>
      </x:c>
      <x:c r="K21" s="18" t="str">
        <x:v>Đóng góp chính</x:v>
      </x:c>
    </x:row>
    <x:row r="22">
      <x:c r="A22" s="18" t="str">
        <x:v>CV-018</x:v>
      </x:c>
      <x:c r="B22" s="18" t="str">
        <x:v>US31</x:v>
      </x:c>
      <x:c r="C22" s="18" t="str">
        <x:v>Phân tích, triển khai và tích hợp: Nhận cảnh báo thời gian thực</x:v>
      </x:c>
      <x:c r="D22" s="18" t="str">
        <x:v>Huỳnh Lê Thành Nhân</x:v>
      </x:c>
      <x:c r="E22" s="18" t="str">
        <x:v>Thực hiện chính</x:v>
      </x:c>
      <x:c r="F22" s="18" t="str">
        <x:v>Hoàn thành</x:v>
      </x:c>
      <x:c r="G22" s="35" t="n">
        <x:v>46212</x:v>
      </x:c>
      <x:c r="H22" s="35" t="n">
        <x:v>46218</x:v>
      </x:c>
      <x:c r="I22" s="18" t="str">
        <x:v>Jira</x:v>
      </x:c>
      <x:c r="J22" s="18" t="str">
        <x:v>Hoàn thành phần chính theo mã nguồn</x:v>
      </x:c>
      <x:c r="K22" s="18" t="str">
        <x:v>Đóng góp chính</x:v>
      </x:c>
    </x:row>
    <x:row r="23">
      <x:c r="A23" s="18" t="str">
        <x:v>CV-019</x:v>
      </x:c>
      <x:c r="B23" s="18" t="str">
        <x:v>US39</x:v>
      </x:c>
      <x:c r="C23" s="18" t="str">
        <x:v>Phân tích, triển khai và tích hợp: Đăng xuất an toàn</x:v>
      </x:c>
      <x:c r="D23" s="18" t="str">
        <x:v>Huỳnh Lê Thành Nhân</x:v>
      </x:c>
      <x:c r="E23" s="18" t="str">
        <x:v>Thực hiện chính</x:v>
      </x:c>
      <x:c r="F23" s="18" t="str">
        <x:v>Hoàn thành</x:v>
      </x:c>
      <x:c r="G23" s="35" t="n">
        <x:v>46212</x:v>
      </x:c>
      <x:c r="H23" s="35" t="n">
        <x:v>46218</x:v>
      </x:c>
      <x:c r="I23" s="18" t="str">
        <x:v>Git: auth/router và dịch vụ xác thực</x:v>
      </x:c>
      <x:c r="J23" s="18" t="str">
        <x:v>Hoàn thành phần chính</x:v>
      </x:c>
      <x:c r="K23" s="18" t="str">
        <x:v>Đóng góp chính</x:v>
      </x:c>
    </x:row>
    <x:row r="24">
      <x:c r="A24" s="18" t="str">
        <x:v>CV-020</x:v>
      </x:c>
      <x:c r="B24" s="18" t="str">
        <x:v>US40</x:v>
      </x:c>
      <x:c r="C24" s="18" t="str">
        <x:v>Phân tích, triển khai và tích hợp: Xử lý phiên hết hạn</x:v>
      </x:c>
      <x:c r="D24" s="18" t="str">
        <x:v>Huỳnh Lê Thành Nhân</x:v>
      </x:c>
      <x:c r="E24" s="18" t="str">
        <x:v>Thực hiện chính</x:v>
      </x:c>
      <x:c r="F24" s="18" t="str">
        <x:v>Hoàn thành</x:v>
      </x:c>
      <x:c r="G24" s="35" t="n">
        <x:v>46219</x:v>
      </x:c>
      <x:c r="H24" s="35" t="n">
        <x:v>46226</x:v>
      </x:c>
      <x:c r="I24" s="18" t="str">
        <x:v>Git: tokenService và AuthProvider</x:v>
      </x:c>
      <x:c r="J24" s="18" t="str">
        <x:v>Hoàn thành phần chính</x:v>
      </x:c>
      <x:c r="K24" s="18" t="str">
        <x:v>Đóng góp chính</x:v>
      </x:c>
    </x:row>
    <x:row r="25">
      <x:c r="A25" s="18" t="str">
        <x:v>CV-021</x:v>
      </x:c>
      <x:c r="B25" s="18" t="str">
        <x:v>US41</x:v>
      </x:c>
      <x:c r="C25" s="18" t="str">
        <x:v>Phân tích, triển khai và tích hợp: Quản lý phiên đăng nhập</x:v>
      </x:c>
      <x:c r="D25" s="18" t="str">
        <x:v>Huỳnh Lê Thành Nhân</x:v>
      </x:c>
      <x:c r="E25" s="18" t="str">
        <x:v>Thực hiện chính</x:v>
      </x:c>
      <x:c r="F25" s="18" t="str">
        <x:v>Hoàn thành</x:v>
      </x:c>
      <x:c r="G25" s="35" t="n">
        <x:v>46219</x:v>
      </x:c>
      <x:c r="H25" s="35" t="n">
        <x:v>46226</x:v>
      </x:c>
      <x:c r="I25" s="18" t="str">
        <x:v>Git: user_sessions và refresh_tokens</x:v>
      </x:c>
      <x:c r="J25" s="18" t="str">
        <x:v>Hoàn thành phần chính</x:v>
      </x:c>
      <x:c r="K25" s="18" t="str">
        <x:v>Đóng góp chính</x:v>
      </x:c>
    </x:row>
    <x:row r="26">
      <x:c r="A26" s="18" t="str">
        <x:v>CV-022</x:v>
      </x:c>
      <x:c r="B26" s="18" t="str">
        <x:v>US42</x:v>
      </x:c>
      <x:c r="C26" s="18" t="str">
        <x:v>Phân tích, triển khai và tích hợp: Xem bảng điều khiển tổng quan</x:v>
      </x:c>
      <x:c r="D26" s="18" t="str">
        <x:v>Huỳnh Lê Thành Nhân</x:v>
      </x:c>
      <x:c r="E26" s="18" t="str">
        <x:v>Thực hiện chính</x:v>
      </x:c>
      <x:c r="F26" s="18" t="str">
        <x:v>Đang thực hiện</x:v>
      </x:c>
      <x:c r="G26" s="35" t="n">
        <x:v>46219</x:v>
      </x:c>
      <x:c r="H26" s="35" t="n">
        <x:v>46226</x:v>
      </x:c>
      <x:c r="I26" s="18" t="str">
        <x:v>Git: DashboardPage và dashboard API</x:v>
      </x:c>
      <x:c r="J26" s="18" t="str">
        <x:v>Sơ khai tại cuối Sprint 1</x:v>
      </x:c>
      <x:c r="K26" s="18" t="str">
        <x:v>Đóng góp chính</x:v>
      </x:c>
    </x:row>
    <x:row r="27">
      <x:c r="A27" s="18" t="str">
        <x:v>CV-023</x:v>
      </x:c>
      <x:c r="B27" s="18" t="str">
        <x:v>US43</x:v>
      </x:c>
      <x:c r="C27" s="18" t="str">
        <x:v>Phân tích, triển khai và tích hợp: Xem lịch công việc</x:v>
      </x:c>
      <x:c r="D27" s="18" t="str">
        <x:v>Huỳnh Lê Thành Nhân</x:v>
      </x:c>
      <x:c r="E27" s="18" t="str">
        <x:v>Thực hiện chính</x:v>
      </x:c>
      <x:c r="F27" s="18" t="str">
        <x:v>Hoàn thành</x:v>
      </x:c>
      <x:c r="G27" s="35" t="n">
        <x:v>46219</x:v>
      </x:c>
      <x:c r="H27" s="35" t="n">
        <x:v>46226</x:v>
      </x:c>
      <x:c r="I27" s="18" t="str">
        <x:v>Git: CalendarPage</x:v>
      </x:c>
      <x:c r="J27" s="18" t="str">
        <x:v>Hoàn thành phần chính</x:v>
      </x:c>
      <x:c r="K27" s="18" t="str">
        <x:v>Đóng góp chính</x:v>
      </x:c>
    </x:row>
    <x:row r="28">
      <x:c r="A28" s="18" t="str">
        <x:v>CV-024</x:v>
      </x:c>
      <x:c r="B28" s="18" t="str">
        <x:v>US44</x:v>
      </x:c>
      <x:c r="C28" s="18" t="str">
        <x:v>Phân tích, triển khai và tích hợp: Đồng bộ lịch khi công việc thay đổi</x:v>
      </x:c>
      <x:c r="D28" s="18" t="str">
        <x:v>Huỳnh Lê Thành Nhân</x:v>
      </x:c>
      <x:c r="E28" s="18" t="str">
        <x:v>Thực hiện chính</x:v>
      </x:c>
      <x:c r="F28" s="18" t="str">
        <x:v>Hoàn thành</x:v>
      </x:c>
      <x:c r="G28" s="35" t="n">
        <x:v>46219</x:v>
      </x:c>
      <x:c r="H28" s="35" t="n">
        <x:v>46226</x:v>
      </x:c>
      <x:c r="I28" s="18" t="str">
        <x:v>Git: domain-event và CalendarPage</x:v>
      </x:c>
      <x:c r="J28" s="18" t="str">
        <x:v>Hoàn thành phần chính</x:v>
      </x:c>
      <x:c r="K28" s="18" t="str">
        <x:v>Đóng góp chính</x:v>
      </x:c>
    </x:row>
    <x:row r="29">
      <x:c r="A29" s="18" t="str">
        <x:v>CV-025</x:v>
      </x:c>
      <x:c r="B29" s="18" t="str">
        <x:v>US45</x:v>
      </x:c>
      <x:c r="C29" s="18" t="str">
        <x:v>Phân tích, triển khai và tích hợp: Xem trung tâm thông báo</x:v>
      </x:c>
      <x:c r="D29" s="18" t="str">
        <x:v>Huỳnh Lê Thành Nhân</x:v>
      </x:c>
      <x:c r="E29" s="18" t="str">
        <x:v>Thực hiện chính</x:v>
      </x:c>
      <x:c r="F29" s="18" t="str">
        <x:v>Hoàn thành</x:v>
      </x:c>
      <x:c r="G29" s="35" t="n">
        <x:v>46219</x:v>
      </x:c>
      <x:c r="H29" s="35" t="n">
        <x:v>46226</x:v>
      </x:c>
      <x:c r="I29" s="18" t="str">
        <x:v>Git: NotificationsPage và notification API</x:v>
      </x:c>
      <x:c r="J29" s="18" t="str">
        <x:v>Hoàn thành phần chính</x:v>
      </x:c>
      <x:c r="K29" s="18" t="str">
        <x:v>Đóng góp chính</x:v>
      </x:c>
    </x:row>
    <x:row r="30">
      <x:c r="A30" s="18" t="str">
        <x:v>CV-026</x:v>
      </x:c>
      <x:c r="B30" s="18" t="str">
        <x:v>US46</x:v>
      </x:c>
      <x:c r="C30" s="18" t="str">
        <x:v>Phân tích, triển khai và tích hợp: Đánh dấu thông báo đã đọc</x:v>
      </x:c>
      <x:c r="D30" s="18" t="str">
        <x:v>Huỳnh Lê Thành Nhân</x:v>
      </x:c>
      <x:c r="E30" s="18" t="str">
        <x:v>Thực hiện chính</x:v>
      </x:c>
      <x:c r="F30" s="18" t="str">
        <x:v>Hoàn thành</x:v>
      </x:c>
      <x:c r="G30" s="35" t="n">
        <x:v>46219</x:v>
      </x:c>
      <x:c r="H30" s="35" t="n">
        <x:v>46226</x:v>
      </x:c>
      <x:c r="I30" s="18" t="str">
        <x:v>Git: notification service</x:v>
      </x:c>
      <x:c r="J30" s="18" t="str">
        <x:v>Hoàn thành phần chính</x:v>
      </x:c>
      <x:c r="K30" s="18" t="str">
        <x:v>Đóng góp chính</x:v>
      </x:c>
    </x:row>
    <x:row r="31">
      <x:c r="A31" s="18" t="str">
        <x:v>CV-027</x:v>
      </x:c>
      <x:c r="B31" s="18" t="str">
        <x:v>US47</x:v>
      </x:c>
      <x:c r="C31" s="18" t="str">
        <x:v>Phân tích, triển khai và tích hợp: Kiểm tra tình trạng hệ thống</x:v>
      </x:c>
      <x:c r="D31" s="18" t="str">
        <x:v>Huỳnh Lê Thành Nhân</x:v>
      </x:c>
      <x:c r="E31" s="18" t="str">
        <x:v>Thực hiện chính</x:v>
      </x:c>
      <x:c r="F31" s="18" t="str">
        <x:v>Hoàn thành</x:v>
      </x:c>
      <x:c r="G31" s="35" t="n">
        <x:v>46219</x:v>
      </x:c>
      <x:c r="H31" s="35" t="n">
        <x:v>46226</x:v>
      </x:c>
      <x:c r="I31" s="18" t="str">
        <x:v>Git 09-12/07: health checks</x:v>
      </x:c>
      <x:c r="J31" s="18" t="str">
        <x:v>Hoàn thành</x:v>
      </x:c>
      <x:c r="K31" s="18" t="str">
        <x:v>Đóng góp chính</x:v>
      </x:c>
    </x:row>
    <x:row r="32">
      <x:c r="A32" s="18" t="str">
        <x:v>CV-028</x:v>
      </x:c>
      <x:c r="B32" s="18" t="str">
        <x:v>US48</x:v>
      </x:c>
      <x:c r="C32" s="18" t="str">
        <x:v>Phân tích, triển khai và tích hợp: Ghi nhật ký có cấu trúc</x:v>
      </x:c>
      <x:c r="D32" s="18" t="str">
        <x:v>Huỳnh Lê Thành Nhân</x:v>
      </x:c>
      <x:c r="E32" s="18" t="str">
        <x:v>Thực hiện chính</x:v>
      </x:c>
      <x:c r="F32" s="18" t="str">
        <x:v>Hoàn thành</x:v>
      </x:c>
      <x:c r="G32" s="35" t="n">
        <x:v>46219</x:v>
      </x:c>
      <x:c r="H32" s="35" t="n">
        <x:v>46226</x:v>
      </x:c>
      <x:c r="I32" s="18" t="str">
        <x:v>Git 09-12/07: logging</x:v>
      </x:c>
      <x:c r="J32" s="18" t="str">
        <x:v>Hoàn thành</x:v>
      </x:c>
      <x:c r="K32" s="18" t="str">
        <x:v>Đóng góp chính</x:v>
      </x:c>
    </x:row>
    <x:row r="33">
      <x:c r="A33" s="18" t="str">
        <x:v>CV-029</x:v>
      </x:c>
      <x:c r="B33" s="18" t="str">
        <x:v>US49</x:v>
      </x:c>
      <x:c r="C33" s="18" t="str">
        <x:v>Phân tích, triển khai và tích hợp: Sử dụng bộ nhớ đệm Redis</x:v>
      </x:c>
      <x:c r="D33" s="18" t="str">
        <x:v>Huỳnh Lê Thành Nhân</x:v>
      </x:c>
      <x:c r="E33" s="18" t="str">
        <x:v>Thực hiện chính</x:v>
      </x:c>
      <x:c r="F33" s="18" t="str">
        <x:v>Hoàn thành</x:v>
      </x:c>
      <x:c r="G33" s="35" t="n">
        <x:v>46219</x:v>
      </x:c>
      <x:c r="H33" s="35" t="n">
        <x:v>46226</x:v>
      </x:c>
      <x:c r="I33" s="18" t="str">
        <x:v>Git 11/07: cache manager</x:v>
      </x:c>
      <x:c r="J33" s="18" t="str">
        <x:v>Hoàn thành phần nền tảng</x:v>
      </x:c>
      <x:c r="K33" s="18" t="str">
        <x:v>Đóng góp chính</x:v>
      </x:c>
    </x:row>
    <x:row r="34">
      <x:c r="A34" s="18" t="str">
        <x:v>CV-030</x:v>
      </x:c>
      <x:c r="B34" s="18" t="str">
        <x:v>US50</x:v>
      </x:c>
      <x:c r="C34" s="18" t="str">
        <x:v>Phân tích, triển khai và tích hợp: Triển khai bằng Docker và kiểm tra CI</x:v>
      </x:c>
      <x:c r="D34" s="18" t="str">
        <x:v>Huỳnh Lê Thành Nhân</x:v>
      </x:c>
      <x:c r="E34" s="18" t="str">
        <x:v>Thực hiện chính</x:v>
      </x:c>
      <x:c r="F34" s="18" t="str">
        <x:v>Hoàn thành</x:v>
      </x:c>
      <x:c r="G34" s="35" t="n">
        <x:v>46219</x:v>
      </x:c>
      <x:c r="H34" s="35" t="n">
        <x:v>46226</x:v>
      </x:c>
      <x:c r="I34" s="18" t="str">
        <x:v>Git 16-23/07: Docker/CI</x:v>
      </x:c>
      <x:c r="J34" s="18" t="str">
        <x:v>Hoàn thành phần nền tảng</x:v>
      </x:c>
      <x:c r="K34" s="18" t="str">
        <x:v>Đóng góp chính</x:v>
      </x:c>
    </x:row>
    <x:row r="35">
      <x:c r="A35" s="18" t="str">
        <x:v>HT-001</x:v>
      </x:c>
      <x:c r="B35" s="18" t="str">
        <x:v>US02</x:v>
      </x:c>
      <x:c r="C35" s="18" t="str">
        <x:v>Kiểm thử gia hạn phiên đăng nhập</x:v>
      </x:c>
      <x:c r="D35" s="18" t="str">
        <x:v>Nguyễn Đức Mạnh</x:v>
      </x:c>
      <x:c r="E35" s="18" t="str">
        <x:v>Kiểm thử</x:v>
      </x:c>
      <x:c r="F35" s="18" t="str">
        <x:v>Đã kiểm thử cơ bản</x:v>
      </x:c>
      <x:c r="G35" s="35" t="n">
        <x:v>46211</x:v>
      </x:c>
      <x:c r="H35" s="35" t="n">
        <x:v>46225</x:v>
      </x:c>
      <x:c r="I35" s="18" t="str">
        <x:v>Jira JD-15</x:v>
      </x:c>
      <x:c r="J35" s="18" t="str">
        <x:v>Phân biệt công việc được giao và kết quả đã xác minh.</x:v>
      </x:c>
      <x:c r="K35" s="18" t="str">
        <x:v>Hỗ trợ</x:v>
      </x:c>
    </x:row>
    <x:row r="36">
      <x:c r="A36" s="18" t="str">
        <x:v>HT-002</x:v>
      </x:c>
      <x:c r="B36" s="18" t="str">
        <x:v>US01</x:v>
      </x:c>
      <x:c r="C36" s="18" t="str">
        <x:v>Hỗ trợ xác định nguyên nhân lỗi 404 sau đăng nhập</x:v>
      </x:c>
      <x:c r="D36" s="18" t="str">
        <x:v>Nguyễn Đức Mạnh</x:v>
      </x:c>
      <x:c r="E36" s="18" t="str">
        <x:v>Hỗ trợ debug</x:v>
      </x:c>
      <x:c r="F36" s="18" t="str">
        <x:v>Đã hỗ trợ</x:v>
      </x:c>
      <x:c r="G36" s="35" t="n">
        <x:v>46211</x:v>
      </x:c>
      <x:c r="H36" s="35" t="n">
        <x:v>46225</x:v>
      </x:c>
      <x:c r="I36" s="18" t="str">
        <x:v>Báo cáo nhóm</x:v>
      </x:c>
      <x:c r="J36" s="18" t="str">
        <x:v>Phân biệt công việc được giao và kết quả đã xác minh.</x:v>
      </x:c>
      <x:c r="K36" s="18" t="str">
        <x:v>Hỗ trợ</x:v>
      </x:c>
    </x:row>
    <x:row r="37">
      <x:c r="A37" s="18" t="str">
        <x:v>HT-003</x:v>
      </x:c>
      <x:c r="B37" s="18" t="str">
        <x:v>US43</x:v>
      </x:c>
      <x:c r="C37" s="18" t="str">
        <x:v>Hỗ trợ kiểm thử lịch công việc</x:v>
      </x:c>
      <x:c r="D37" s="18" t="str">
        <x:v>Nguyễn Đức Mạnh</x:v>
      </x:c>
      <x:c r="E37" s="18" t="str">
        <x:v>Calendar</x:v>
      </x:c>
      <x:c r="F37" s="18" t="str">
        <x:v>Đã kiểm thử cơ bản</x:v>
      </x:c>
      <x:c r="G37" s="35" t="n">
        <x:v>46211</x:v>
      </x:c>
      <x:c r="H37" s="35" t="n">
        <x:v>46225</x:v>
      </x:c>
      <x:c r="I37" s="18" t="str">
        <x:v>Mã nguồn CalendarPage</x:v>
      </x:c>
      <x:c r="J37" s="18" t="str">
        <x:v>Phân biệt công việc được giao và kết quả đã xác minh.</x:v>
      </x:c>
      <x:c r="K37" s="18" t="str">
        <x:v>Hỗ trợ</x:v>
      </x:c>
    </x:row>
    <x:row r="38">
      <x:c r="A38" s="18" t="str">
        <x:v>HT-004</x:v>
      </x:c>
      <x:c r="B38" s="18" t="str">
        <x:v>US45</x:v>
      </x:c>
      <x:c r="C38" s="18" t="str">
        <x:v>Hỗ trợ kiểm thử trung tâm thông báo</x:v>
      </x:c>
      <x:c r="D38" s="18" t="str">
        <x:v>Nguyễn Đức Mạnh</x:v>
      </x:c>
      <x:c r="E38" s="18" t="str">
        <x:v>Thông báo</x:v>
      </x:c>
      <x:c r="F38" s="18" t="str">
        <x:v>Đã kiểm thử cơ bản</x:v>
      </x:c>
      <x:c r="G38" s="35" t="n">
        <x:v>46211</x:v>
      </x:c>
      <x:c r="H38" s="35" t="n">
        <x:v>46225</x:v>
      </x:c>
      <x:c r="I38" s="18" t="str">
        <x:v>Mã nguồn NotificationsPage</x:v>
      </x:c>
      <x:c r="J38" s="18" t="str">
        <x:v>Phân biệt công việc được giao và kết quả đã xác minh.</x:v>
      </x:c>
      <x:c r="K38" s="18" t="str">
        <x:v>Hỗ trợ</x:v>
      </x:c>
    </x:row>
    <x:row r="39">
      <x:c r="A39" s="18" t="str">
        <x:v>HT-005</x:v>
      </x:c>
      <x:c r="B39" s="18" t="str">
        <x:v>US04</x:v>
      </x:c>
      <x:c r="C39" s="18" t="str">
        <x:v>Chạy thử phân quyền trên local</x:v>
      </x:c>
      <x:c r="D39" s="18" t="str">
        <x:v>Nguyễn Lê Huy Hoàng</x:v>
      </x:c>
      <x:c r="E39" s="18" t="str">
        <x:v>Kiểm thử demo</x:v>
      </x:c>
      <x:c r="F39" s="18" t="str">
        <x:v>Đã kiểm thử cơ bản</x:v>
      </x:c>
      <x:c r="G39" s="35" t="n">
        <x:v>46218</x:v>
      </x:c>
      <x:c r="H39" s="35" t="n">
        <x:v>46226</x:v>
      </x:c>
      <x:c r="I39" s="18" t="str">
        <x:v>Thông tin nhóm cung cấp</x:v>
      </x:c>
      <x:c r="J39" s="18" t="str">
        <x:v>Phân biệt công việc được giao và kết quả đã xác minh.</x:v>
      </x:c>
      <x:c r="K39" s="18" t="str">
        <x:v>Hỗ trợ</x:v>
      </x:c>
    </x:row>
    <x:row r="40">
      <x:c r="A40" s="18" t="str">
        <x:v>HT-006</x:v>
      </x:c>
      <x:c r="B40" s="18" t="str">
        <x:v>US15</x:v>
      </x:c>
      <x:c r="C40" s="18" t="str">
        <x:v>Chạy thử bảng Kanban trên local</x:v>
      </x:c>
      <x:c r="D40" s="18" t="str">
        <x:v>Nguyễn Lê Huy Hoàng</x:v>
      </x:c>
      <x:c r="E40" s="18" t="str">
        <x:v>Kiểm thử demo</x:v>
      </x:c>
      <x:c r="F40" s="18" t="str">
        <x:v>Đã kiểm thử cơ bản</x:v>
      </x:c>
      <x:c r="G40" s="35" t="n">
        <x:v>46218</x:v>
      </x:c>
      <x:c r="H40" s="35" t="n">
        <x:v>46226</x:v>
      </x:c>
      <x:c r="I40" s="18" t="str">
        <x:v>Thông tin nhóm cung cấp</x:v>
      </x:c>
      <x:c r="J40" s="18" t="str">
        <x:v>Phân biệt công việc được giao và kết quả đã xác minh.</x:v>
      </x:c>
      <x:c r="K40" s="18" t="str">
        <x:v>Hỗ trợ</x:v>
      </x:c>
    </x:row>
    <x:row r="41">
      <x:c r="A41" s="18" t="str">
        <x:v>HT-007</x:v>
      </x:c>
      <x:c r="B41" s="18" t="str">
        <x:v>US18</x:v>
      </x:c>
      <x:c r="C41" s="18" t="str">
        <x:v>Chạy thử luồng bình luận trên local</x:v>
      </x:c>
      <x:c r="D41" s="18" t="str">
        <x:v>Nguyễn Lê Huy Hoàng</x:v>
      </x:c>
      <x:c r="E41" s="18" t="str">
        <x:v>Kiểm thử demo</x:v>
      </x:c>
      <x:c r="F41" s="18" t="str">
        <x:v>Chưa xác minh</x:v>
      </x:c>
      <x:c r="G41" s="35" t="n">
        <x:v>46218</x:v>
      </x:c>
      <x:c r="H41" s="35" t="n">
        <x:v>46226</x:v>
      </x:c>
      <x:c r="I41" s="18" t="str">
        <x:v>Thiếu biên bản</x:v>
      </x:c>
      <x:c r="J41" s="18" t="str">
        <x:v>Phân biệt công việc được giao và kết quả đã xác minh.</x:v>
      </x:c>
      <x:c r="K41" s="18" t="str">
        <x:v>Hỗ trợ</x:v>
      </x:c>
    </x:row>
    <x:row r="42">
      <x:c r="A42" s="18" t="str">
        <x:v>HT-008</x:v>
      </x:c>
      <x:c r="B42" s="18" t="str">
        <x:v>US11</x:v>
      </x:c>
      <x:c r="C42" s="18" t="str">
        <x:v>Xây dựng sơ đồ dự án theo phân công</x:v>
      </x:c>
      <x:c r="D42" s="18" t="str">
        <x:v>Phạm Tuấn Anh</x:v>
      </x:c>
      <x:c r="E42" s="18" t="str">
        <x:v>Sơ đồ/tài liệu</x:v>
      </x:c>
      <x:c r="F42" s="18" t="str">
        <x:v>Chưa có sản phẩm bàn giao</x:v>
      </x:c>
      <x:c r="G42" s="35" t="n">
        <x:v>46218</x:v>
      </x:c>
      <x:c r="H42" s="35" t="n">
        <x:v>46226</x:v>
      </x:c>
      <x:c r="I42" s="18" t="str">
        <x:v>Jira JD-24</x:v>
      </x:c>
      <x:c r="J42" s="18" t="str">
        <x:v>Phân biệt công việc được giao và kết quả đã xác minh.</x:v>
      </x:c>
      <x:c r="K42" s="18" t="str">
        <x:v>Chưa xác minh</x:v>
      </x:c>
    </x:row>
    <x:row r="43">
      <x:c r="A43" s="18" t="str">
        <x:v>HT-009</x:v>
      </x:c>
      <x:c r="B43" s="18" t="str">
        <x:v>US16</x:v>
      </x:c>
      <x:c r="C43" s="18" t="str">
        <x:v>Xây dựng sơ đồ phụ thuộc công việc</x:v>
      </x:c>
      <x:c r="D43" s="18" t="str">
        <x:v>Phạm Tuấn Anh</x:v>
      </x:c>
      <x:c r="E43" s="18" t="str">
        <x:v>Sơ đồ/tài liệu</x:v>
      </x:c>
      <x:c r="F43" s="18" t="str">
        <x:v>Chưa có sản phẩm bàn giao</x:v>
      </x:c>
      <x:c r="G43" s="35" t="n">
        <x:v>46218</x:v>
      </x:c>
      <x:c r="H43" s="35" t="n">
        <x:v>46226</x:v>
      </x:c>
      <x:c r="I43" s="18" t="str">
        <x:v>Jira JD-29</x:v>
      </x:c>
      <x:c r="J43" s="18" t="str">
        <x:v>Phân biệt công việc được giao và kết quả đã xác minh.</x:v>
      </x:c>
      <x:c r="K43" s="18" t="str">
        <x:v>Chưa xác minh</x:v>
      </x:c>
    </x:row>
    <x:row r="44">
      <x:c r="A44" s="18" t="str">
        <x:v>HT-010</x:v>
      </x:c>
      <x:c r="B44" s="18" t="str">
        <x:v>US06</x:v>
      </x:c>
      <x:c r="C44" s="18" t="str">
        <x:v>Nghiên cứu tài liệu hồ sơ nhân viên</x:v>
      </x:c>
      <x:c r="D44" s="18" t="str">
        <x:v>Nguyễn Anh Tuấn</x:v>
      </x:c>
      <x:c r="E44" s="18" t="str">
        <x:v>Nghiên cứu tài liệu</x:v>
      </x:c>
      <x:c r="F44" s="18" t="str">
        <x:v>Chưa có sản phẩm bàn giao</x:v>
      </x:c>
      <x:c r="G44" s="35" t="n">
        <x:v>46218</x:v>
      </x:c>
      <x:c r="H44" s="35" t="n">
        <x:v>46226</x:v>
      </x:c>
      <x:c r="I44" s="18" t="str">
        <x:v>Thông tin nhóm cung cấp</x:v>
      </x:c>
      <x:c r="J44" s="18" t="str">
        <x:v>Phân biệt công việc được giao và kết quả đã xác minh.</x:v>
      </x:c>
      <x:c r="K44" s="18" t="str">
        <x:v>Chưa xác minh</x:v>
      </x:c>
    </x:row>
    <x:row r="45">
      <x:c r="A45" s="18" t="str">
        <x:v>HT-011</x:v>
      </x:c>
      <x:c r="B45" s="18" t="str">
        <x:v>US30</x:v>
      </x:c>
      <x:c r="C45" s="18" t="str">
        <x:v>Tổng hợp thuật ngữ báo cáo</x:v>
      </x:c>
      <x:c r="D45" s="18" t="str">
        <x:v>Nguyễn Anh Tuấn</x:v>
      </x:c>
      <x:c r="E45" s="18" t="str">
        <x:v>Nghiên cứu tài liệu</x:v>
      </x:c>
      <x:c r="F45" s="18" t="str">
        <x:v>Chưa có sản phẩm bàn giao</x:v>
      </x:c>
      <x:c r="G45" s="35" t="n">
        <x:v>46218</x:v>
      </x:c>
      <x:c r="H45" s="35" t="n">
        <x:v>46226</x:v>
      </x:c>
      <x:c r="I45" s="18" t="str">
        <x:v>Thông tin nhóm cung cấp</x:v>
      </x:c>
      <x:c r="J45" s="18" t="str">
        <x:v>Phân biệt công việc được giao và kết quả đã xác minh.</x:v>
      </x:c>
      <x:c r="K45" s="18" t="str">
        <x:v>Chưa xác minh</x:v>
      </x:c>
    </x:row>
  </x:sheetData>
  <x:mergeCells>
    <x:mergeCell ref="A1:K2"/>
  </x:mergeCells>
  <x:conditionalFormatting sqref="F5:F45">
    <x:cfRule type="containsText" dxfId="9" priority="1" operator="containsText" text="Hoàn thành"/>
    <x:cfRule type="containsText" dxfId="10" priority="2" operator="containsText" text="Đã kiểm thử"/>
    <x:cfRule type="containsText" dxfId="11" priority="3" operator="containsText" text="Đã hỗ trợ"/>
    <x:cfRule type="containsText" dxfId="12" priority="4" operator="containsText" text="Sơ khai"/>
    <x:cfRule type="containsText" dxfId="13" priority="5" operator="containsText" text="Đang"/>
    <x:cfRule type="containsText" dxfId="14" priority="6" operator="containsText" text="Chưa xác minh"/>
    <x:cfRule type="containsText" dxfId="15" priority="7" operator="containsText" text="Cần làm"/>
    <x:cfRule type="containsText" dxfId="16" priority="8" operator="containsText" text="Dự kiến"/>
    <x:cfRule type="containsText" dxfId="17" priority="9" operator="containsText" text="Chưa có sản phẩm"/>
  </x:conditionalFormatting>
  <x:pageMargins left="0.7" right="0.7" top="0.75" bottom="0.75" header="0.3" footer="0.3"/>
  <x:tableParts count="1">
    <x:tablePart xmlns:r="http://schemas.openxmlformats.org/officeDocument/2006/relationships" r:id="Rac83545a097840ae"/>
  </x:tableParts>
</x:worksheet>
</file>

<file path=xl/worksheets/sheet4.xml><?xml version="1.0" encoding="utf-8"?>
<x:worksheet xmlns:x="http://schemas.openxmlformats.org/spreadsheetml/2006/main">
  <x:sheetFormatPr defaultRowHeight="15"/>
  <x:cols>
    <x:col min="1" max="1" width="14" hidden="0" customWidth="1"/>
    <x:col min="2" max="2" width="24" hidden="0" customWidth="1"/>
    <x:col min="3" max="3" width="15" hidden="0" customWidth="1"/>
    <x:col min="4" max="4" width="38" hidden="0" customWidth="1"/>
    <x:col min="5" max="5" width="46" hidden="0" customWidth="1"/>
    <x:col min="6" max="6" width="44" hidden="0" customWidth="1"/>
    <x:col min="7" max="7" width="38" hidden="0" customWidth="1"/>
    <x:col min="8" max="8" width="44" hidden="0" customWidth="1"/>
    <x:col min="9" max="9" width="25" hidden="0" customWidth="1"/>
    <x:col min="10" max="10" width="35" hidden="0" customWidth="1"/>
  </x:cols>
  <x:sheetData>
    <x:row r="1" ht="54" customHeight="1">
      <x:c r="A1" s="5" t="str">
        <x:v>DAILY SCRUM / CẬP NHẬT TIẾN ĐỘ SPRINT 1
Buổi chính tại trường và cập nhật ngắn theo tiến độ</x:v>
      </x:c>
      <x:c r="B1" s="5"/>
      <x:c r="C1" s="5"/>
      <x:c r="D1" s="5"/>
      <x:c r="E1" s="5"/>
      <x:c r="F1" s="5"/>
      <x:c r="G1" s="5"/>
      <x:c r="H1" s="5"/>
      <x:c r="I1" s="5"/>
      <x:c r="J1" s="5"/>
    </x:row>
    <x:row r="2" ht="54" customHeight="1">
      <x:c r="A2" s="5"/>
      <x:c r="B2" s="5"/>
      <x:c r="C2" s="5"/>
      <x:c r="D2" s="5"/>
      <x:c r="E2" s="5"/>
      <x:c r="F2" s="5"/>
      <x:c r="G2" s="5"/>
      <x:c r="H2" s="5"/>
      <x:c r="I2" s="5"/>
      <x:c r="J2" s="5"/>
    </x:row>
    <x:row r="4" ht="32" customHeight="1">
      <x:c r="A4" s="11" t="str">
        <x:v>Ngày</x:v>
      </x:c>
      <x:c r="B4" s="11" t="str">
        <x:v>Loại</x:v>
      </x:c>
      <x:c r="C4" s="11" t="str">
        <x:v>Thời gian</x:v>
      </x:c>
      <x:c r="D4" s="11" t="str">
        <x:v>Người cập nhật</x:v>
      </x:c>
      <x:c r="E4" s="11" t="str">
        <x:v>Đã làm</x:v>
      </x:c>
      <x:c r="F4" s="11" t="str">
        <x:v>Sẽ làm</x:v>
      </x:c>
      <x:c r="G4" s="11" t="str">
        <x:v>Trở ngại</x:v>
      </x:c>
      <x:c r="H4" s="11" t="str">
        <x:v>Quyết định</x:v>
      </x:c>
      <x:c r="I4" s="11" t="str">
        <x:v>Trạng thái tham gia</x:v>
      </x:c>
      <x:c r="J4" s="11" t="str">
        <x:v>Minh chứng</x:v>
      </x:c>
    </x:row>
    <x:row r="5">
      <x:c r="A5" s="34" t="n">
        <x:v>46205</x:v>
      </x:c>
      <x:c r="B5" s="17" t="str">
        <x:v>Bắt đầu Sprint</x:v>
      </x:c>
      <x:c r="C5" s="17" t="str">
        <x:v>15-30 phút</x:v>
      </x:c>
      <x:c r="D5" s="17" t="str">
        <x:v>Huỳnh Lê Thành Nhân</x:v>
      </x:c>
      <x:c r="E5" s="17" t="str">
        <x:v>Chốt phạm vi Sprint và kiểm tra dự án ban đầu</x:v>
      </x:c>
      <x:c r="F5" s="17" t="str">
        <x:v>Ổn định cấu trúc, database và đăng nhập</x:v>
      </x:c>
      <x:c r="G5" s="17" t="str">
        <x:v>Nhóm phản hồi chậm</x:v>
      </x:c>
      <x:c r="H5" s="17" t="str">
        <x:v>Product Owner chủ động chốt phạm vi</x:v>
      </x:c>
      <x:c r="I5" s="17" t="str">
        <x:v>Tham gia chính</x:v>
      </x:c>
      <x:c r="J5" s="17" t="str">
        <x:v>Jira/Git</x:v>
      </x:c>
    </x:row>
    <x:row r="6">
      <x:c r="A6" s="35" t="n">
        <x:v>46209</x:v>
      </x:c>
      <x:c r="B6" s="18" t="str">
        <x:v>Cập nhật tại trường</x:v>
      </x:c>
      <x:c r="C6" s="18" t="str">
        <x:v>15-30 phút</x:v>
      </x:c>
      <x:c r="D6" s="18" t="str">
        <x:v>Huỳnh Lê Thành Nhân; Nguyễn Đức Mạnh</x:v>
      </x:c>
      <x:c r="E6" s="18" t="str">
        <x:v>Rà cấu trúc Backend/Frontend</x:v>
      </x:c>
      <x:c r="F6" s="18" t="str">
        <x:v>Kiểm tra Login/Auth và lỗi 404</x:v>
      </x:c>
      <x:c r="G6" s="18" t="str">
        <x:v>Thiếu phản hồi từ một số thành viên</x:v>
      </x:c>
      <x:c r="H6" s="18" t="str">
        <x:v>Ưu tiên luồng đăng nhập</x:v>
      </x:c>
      <x:c r="I6" s="18" t="str">
        <x:v>Có trao đổi</x:v>
      </x:c>
      <x:c r="J6" s="18" t="str">
        <x:v>Git</x:v>
      </x:c>
    </x:row>
    <x:row r="7">
      <x:c r="A7" s="35" t="n">
        <x:v>46211</x:v>
      </x:c>
      <x:c r="B7" s="18" t="str">
        <x:v>Cập nhật tại trường</x:v>
      </x:c>
      <x:c r="C7" s="18" t="str">
        <x:v>15-30 phút</x:v>
      </x:c>
      <x:c r="D7" s="18" t="str">
        <x:v>Huỳnh Lê Thành Nhân; Nguyễn Đức Mạnh</x:v>
      </x:c>
      <x:c r="E7" s="18" t="str">
        <x:v>Củng cố nền tảng Backend</x:v>
      </x:c>
      <x:c r="F7" s="18" t="str">
        <x:v>Test phiên đăng nhập và cấu hình</x:v>
      </x:c>
      <x:c r="G7" s="18" t="str">
        <x:v>Lỗi môi trường và database</x:v>
      </x:c>
      <x:c r="H7" s="18" t="str">
        <x:v>Tách lỗi cấu hình khỏi nghiệp vụ</x:v>
      </x:c>
      <x:c r="I7" s="18" t="str">
        <x:v>Có trao đổi</x:v>
      </x:c>
      <x:c r="J7" s="18" t="str">
        <x:v>Git 1472f9b, 999f826</x:v>
      </x:c>
    </x:row>
    <x:row r="8">
      <x:c r="A8" s="35" t="n">
        <x:v>46216</x:v>
      </x:c>
      <x:c r="B8" s="18" t="str">
        <x:v>Cập nhật tại trường</x:v>
      </x:c>
      <x:c r="C8" s="18" t="str">
        <x:v>15-30 phút</x:v>
      </x:c>
      <x:c r="D8" s="18" t="str">
        <x:v>Huỳnh Lê Thành Nhân; Nguyễn Đức Mạnh</x:v>
      </x:c>
      <x:c r="E8" s="18" t="str">
        <x:v>Hoàn thiện health, logging, cache và thông báo nền tảng</x:v>
      </x:c>
      <x:c r="F8" s="18" t="str">
        <x:v>Kiểm thử tích hợp và xử lý cảnh báo</x:v>
      </x:c>
      <x:c r="G8" s="18" t="str">
        <x:v>Khó bố trí thời gian</x:v>
      </x:c>
      <x:c r="H8" s="18" t="str">
        <x:v>Kiểm tra từng luồng nhỏ</x:v>
      </x:c>
      <x:c r="I8" s="18" t="str">
        <x:v>Có trao đổi</x:v>
      </x:c>
      <x:c r="J8" s="18" t="str">
        <x:v>Git 83d2a69, 8d196a0</x:v>
      </x:c>
    </x:row>
    <x:row r="9">
      <x:c r="A9" s="35" t="n">
        <x:v>46218</x:v>
      </x:c>
      <x:c r="B9" s="18" t="str">
        <x:v>Cập nhật tại trường</x:v>
      </x:c>
      <x:c r="C9" s="18" t="str">
        <x:v>15-30 phút</x:v>
      </x:c>
      <x:c r="D9" s="18" t="str">
        <x:v>Huỳnh Lê Thành Nhân; Nguyễn Đức Mạnh; Nguyễn Lê Huy Hoàng</x:v>
      </x:c>
      <x:c r="E9" s="18" t="str">
        <x:v>Rà giao diện demo và các route chính</x:v>
      </x:c>
      <x:c r="F9" s="18" t="str">
        <x:v>Kiểm thử Login, Task, Project</x:v>
      </x:c>
      <x:c r="G9" s="18" t="str">
        <x:v>Một số màn hình chưa ổn định</x:v>
      </x:c>
      <x:c r="H9" s="18" t="str">
        <x:v>Giới hạn demo vào chức năng cốt lõi</x:v>
      </x:c>
      <x:c r="I9" s="18" t="str">
        <x:v>Huy Hoàng hỗ trợ test</x:v>
      </x:c>
      <x:c r="J9" s="18" t="str">
        <x:v>Jira/Git</x:v>
      </x:c>
    </x:row>
    <x:row r="10">
      <x:c r="A10" s="35" t="n">
        <x:v>46223</x:v>
      </x:c>
      <x:c r="B10" s="18" t="str">
        <x:v>Cập nhật tại trường</x:v>
      </x:c>
      <x:c r="C10" s="18" t="str">
        <x:v>15-30 phút</x:v>
      </x:c>
      <x:c r="D10" s="18" t="str">
        <x:v>Huỳnh Lê Thành Nhân; Nguyễn Đức Mạnh</x:v>
      </x:c>
      <x:c r="E10" s="18" t="str">
        <x:v>Hoàn thiện Docker, sao lưu và cấu hình triển khai</x:v>
      </x:c>
      <x:c r="F10" s="18" t="str">
        <x:v>Rà lỗi còn lại, chuẩn bị demo</x:v>
      </x:c>
      <x:c r="G10" s="18" t="str">
        <x:v>CI và cấu hình môi trường</x:v>
      </x:c>
      <x:c r="H10" s="18" t="str">
        <x:v>Dùng cấu hình mẫu có thể tái lập</x:v>
      </x:c>
      <x:c r="I10" s="18" t="str">
        <x:v>Có trao đổi</x:v>
      </x:c>
      <x:c r="J10" s="18" t="str">
        <x:v>Git 052f835</x:v>
      </x:c>
    </x:row>
    <x:row r="11">
      <x:c r="A11" s="35" t="n">
        <x:v>46225</x:v>
      </x:c>
      <x:c r="B11" s="18" t="str">
        <x:v>Cập nhật tại trường</x:v>
      </x:c>
      <x:c r="C11" s="18" t="str">
        <x:v>15-30 phút</x:v>
      </x:c>
      <x:c r="D11" s="18" t="str">
        <x:v>Huỳnh Lê Thành Nhân; Nguyễn Đức Mạnh</x:v>
      </x:c>
      <x:c r="E11" s="18" t="str">
        <x:v>Rà Task, Project, Notification và Calendar</x:v>
      </x:c>
      <x:c r="F11" s="18" t="str">
        <x:v>Chốt lỗi nghiêm trọng trước giữa kỳ</x:v>
      </x:c>
      <x:c r="G11" s="18" t="str">
        <x:v>Thiếu bằng chứng từ người được giao</x:v>
      </x:c>
      <x:c r="H11" s="18" t="str">
        <x:v>Tách trạng thái Jira và xác minh</x:v>
      </x:c>
      <x:c r="I11" s="18" t="str">
        <x:v>Có trao đổi</x:v>
      </x:c>
      <x:c r="J11" s="18" t="str">
        <x:v>Jira/Git</x:v>
      </x:c>
    </x:row>
    <x:row r="12">
      <x:c r="A12" s="35" t="n">
        <x:v>46226</x:v>
      </x:c>
      <x:c r="B12" s="18" t="str">
        <x:v>Sprint Review</x:v>
      </x:c>
      <x:c r="C12" s="18" t="str">
        <x:v>30-60 phút</x:v>
      </x:c>
      <x:c r="D12" s="18" t="str">
        <x:v>Huỳnh Lê Thành Nhân; nhóm tham dự theo thực tế</x:v>
      </x:c>
      <x:c r="E12" s="18" t="str">
        <x:v>Hoàn thiện kiểm thử chấp nhận, CI và tài liệu kỹ thuật</x:v>
      </x:c>
      <x:c r="F12" s="18" t="str">
        <x:v>Ghi nhận phần chưa ổn định sang Sprint 2</x:v>
      </x:c>
      <x:c r="G12" s="18" t="str">
        <x:v>Nhiều hạng mục thiếu phản hồi</x:v>
      </x:c>
      <x:c r="H12" s="18" t="str">
        <x:v>Chỉ báo cáo phần đã xác minh</x:v>
      </x:c>
      <x:c r="I12" s="18" t="str">
        <x:v>Kết thúc Sprint 1</x:v>
      </x:c>
      <x:c r="J12" s="18" t="str">
        <x:v>Git 4475139 và các commit ngày 23/07</x:v>
      </x:c>
    </x:row>
  </x:sheetData>
  <x:mergeCells>
    <x:mergeCell ref="A1:J2"/>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2" hidden="0" customWidth="1"/>
    <x:col min="3" max="3" width="38" hidden="0" customWidth="1"/>
    <x:col min="4" max="4" width="40" hidden="0" customWidth="1"/>
    <x:col min="5" max="5" width="44" hidden="0" customWidth="1"/>
    <x:col min="6" max="6" width="28" hidden="0" customWidth="1"/>
    <x:col min="7" max="7" width="30" hidden="0" customWidth="1"/>
    <x:col min="8" max="8" width="24" hidden="0" customWidth="1"/>
    <x:col min="9" max="9" width="28" hidden="0" customWidth="1"/>
  </x:cols>
  <x:sheetData>
    <x:row r="1" ht="54" customHeight="1">
      <x:c r="A1" s="5" t="str">
        <x:v>LỖI VÀ QUÁ TRÌNH DEBUG
Tổng hợp từ lịch sử Git Sprint 1</x:v>
      </x:c>
      <x:c r="B1" s="5"/>
      <x:c r="C1" s="5"/>
      <x:c r="D1" s="5"/>
      <x:c r="E1" s="5"/>
      <x:c r="F1" s="5"/>
      <x:c r="G1" s="5"/>
      <x:c r="H1" s="5"/>
      <x:c r="I1" s="5"/>
    </x:row>
    <x:row r="2" ht="54" customHeight="1">
      <x:c r="A2" s="5"/>
      <x:c r="B2" s="5"/>
      <x:c r="C2" s="5"/>
      <x:c r="D2" s="5"/>
      <x:c r="E2" s="5"/>
      <x:c r="F2" s="5"/>
      <x:c r="G2" s="5"/>
      <x:c r="H2" s="5"/>
      <x:c r="I2" s="5"/>
    </x:row>
    <x:row r="4" ht="32" customHeight="1">
      <x:c r="A4" s="11" t="str">
        <x:v>Ngày</x:v>
      </x:c>
      <x:c r="B4" s="11" t="str">
        <x:v>Nhóm lỗi</x:v>
      </x:c>
      <x:c r="C4" s="11" t="str">
        <x:v>Hiện tượng</x:v>
      </x:c>
      <x:c r="D4" s="11" t="str">
        <x:v>Nguyên nhân</x:v>
      </x:c>
      <x:c r="E4" s="11" t="str">
        <x:v>Xử lý</x:v>
      </x:c>
      <x:c r="F4" s="11" t="str">
        <x:v>Người chính</x:v>
      </x:c>
      <x:c r="G4" s="11" t="str">
        <x:v>Hỗ trợ</x:v>
      </x:c>
      <x:c r="H4" s="11" t="str">
        <x:v>Kết quả</x:v>
      </x:c>
      <x:c r="I4" s="11" t="str">
        <x:v>Bằng chứng</x:v>
      </x:c>
    </x:row>
    <x:row r="5">
      <x:c r="A5" s="34" t="n">
        <x:v>46210</x:v>
      </x:c>
      <x:c r="B5" s="17" t="str">
        <x:v>Database</x:v>
      </x:c>
      <x:c r="C5" s="17" t="str">
        <x:v>Schema và default không tương thích môi trường test</x:v>
      </x:c>
      <x:c r="D5" s="17" t="str">
        <x:v>Khác biệt SQL Server/SQLite</x:v>
      </x:c>
      <x:c r="E5" s="17" t="str">
        <x:v>Chuẩn hóa model và migration</x:v>
      </x:c>
      <x:c r="F5" s="17" t="str">
        <x:v>Huỳnh Lê Thành Nhân</x:v>
      </x:c>
      <x:c r="G5" s="17" t="str"/>
      <x:c r="H5" s="17" t="str">
        <x:v>Đã xử lý</x:v>
      </x:c>
      <x:c r="I5" s="17" t="str">
        <x:v>8db87cd, 7d6cf11</x:v>
      </x:c>
    </x:row>
    <x:row r="6">
      <x:c r="A6" s="35" t="n">
        <x:v>46212</x:v>
      </x:c>
      <x:c r="B6" s="18" t="str">
        <x:v>Hạ tầng Backend</x:v>
      </x:c>
      <x:c r="C6" s="18" t="str">
        <x:v>Cấu hình và ngoại lệ chưa nhất quán</x:v>
      </x:c>
      <x:c r="D6" s="18" t="str">
        <x:v>Nền tảng cũ thiếu chuẩn hóa</x:v>
      </x:c>
      <x:c r="E6" s="18" t="str">
        <x:v>Củng cố config, logging, exception</x:v>
      </x:c>
      <x:c r="F6" s="18" t="str">
        <x:v>Huỳnh Lê Thành Nhân</x:v>
      </x:c>
      <x:c r="G6" s="18" t="str"/>
      <x:c r="H6" s="18" t="str">
        <x:v>Đã xử lý</x:v>
      </x:c>
      <x:c r="I6" s="18" t="str">
        <x:v>1be79c5, 47a9ddc</x:v>
      </x:c>
    </x:row>
    <x:row r="7">
      <x:c r="A7" s="35" t="n">
        <x:v>46213</x:v>
      </x:c>
      <x:c r="B7" s="18" t="str">
        <x:v>Thông báo</x:v>
      </x:c>
      <x:c r="C7" s="18" t="str">
        <x:v>Thiếu nền tảng gửi thông báo</x:v>
      </x:c>
      <x:c r="D7" s="18" t="str">
        <x:v>Chưa có khung đa kênh</x:v>
      </x:c>
      <x:c r="E7" s="18" t="str">
        <x:v>Xây dựng notification framework</x:v>
      </x:c>
      <x:c r="F7" s="18" t="str">
        <x:v>Huỳnh Lê Thành Nhân</x:v>
      </x:c>
      <x:c r="G7" s="18" t="str">
        <x:v>Nguyễn Đức Mạnh kiểm thử</x:v>
      </x:c>
      <x:c r="H7" s="18" t="str">
        <x:v>Hoàn thành phần nền tảng</x:v>
      </x:c>
      <x:c r="I7" s="18" t="str">
        <x:v>17fb551</x:v>
      </x:c>
    </x:row>
    <x:row r="8">
      <x:c r="A8" s="35" t="n">
        <x:v>46214</x:v>
      </x:c>
      <x:c r="B8" s="18" t="str">
        <x:v>Hiệu năng</x:v>
      </x:c>
      <x:c r="C8" s="18" t="str">
        <x:v>Truy vấn lặp lại</x:v>
      </x:c>
      <x:c r="D8" s="18" t="str">
        <x:v>Chưa có cache</x:v>
      </x:c>
      <x:c r="E8" s="18" t="str">
        <x:v>Bổ sung Redis và cache manager</x:v>
      </x:c>
      <x:c r="F8" s="18" t="str">
        <x:v>Huỳnh Lê Thành Nhân</x:v>
      </x:c>
      <x:c r="G8" s="18" t="str"/>
      <x:c r="H8" s="18" t="str">
        <x:v>Hoàn thành phần nền tảng</x:v>
      </x:c>
      <x:c r="I8" s="18" t="str">
        <x:v>83d2a69</x:v>
      </x:c>
    </x:row>
    <x:row r="9">
      <x:c r="A9" s="35" t="n">
        <x:v>46215</x:v>
      </x:c>
      <x:c r="B9" s="18" t="str">
        <x:v>Quan sát hệ thống</x:v>
      </x:c>
      <x:c r="C9" s="18" t="str">
        <x:v>Khó theo dõi lỗi runtime</x:v>
      </x:c>
      <x:c r="D9" s="18" t="str">
        <x:v>Thiếu health/metrics/tracing</x:v>
      </x:c>
      <x:c r="E9" s="18" t="str">
        <x:v>Bổ sung health, metrics, logging, tracing</x:v>
      </x:c>
      <x:c r="F9" s="18" t="str">
        <x:v>Huỳnh Lê Thành Nhân</x:v>
      </x:c>
      <x:c r="G9" s="18" t="str"/>
      <x:c r="H9" s="18" t="str">
        <x:v>Đã xử lý</x:v>
      </x:c>
      <x:c r="I9" s="18" t="str">
        <x:v>e9918fe, 3a542b4</x:v>
      </x:c>
    </x:row>
    <x:row r="10">
      <x:c r="A10" s="35" t="n">
        <x:v>46217</x:v>
      </x:c>
      <x:c r="B10" s="18" t="str">
        <x:v>Docker/Database</x:v>
      </x:c>
      <x:c r="C10" s="18" t="str">
        <x:v>Sai thông tin kết nối SQL Server</x:v>
      </x:c>
      <x:c r="D10" s="18" t="str">
        <x:v>Thông tin môi trường không đồng bộ</x:v>
      </x:c>
      <x:c r="E10" s="18" t="str">
        <x:v>Đồng bộ cấu hình và hướng dẫn</x:v>
      </x:c>
      <x:c r="F10" s="18" t="str">
        <x:v>Huỳnh Lê Thành Nhân</x:v>
      </x:c>
      <x:c r="G10" s="18" t="str"/>
      <x:c r="H10" s="18" t="str">
        <x:v>Đã xử lý</x:v>
      </x:c>
      <x:c r="I10" s="18" t="str">
        <x:v>9059157</x:v>
      </x:c>
    </x:row>
    <x:row r="11">
      <x:c r="A11" s="35" t="n">
        <x:v>46219</x:v>
      </x:c>
      <x:c r="B11" s="18" t="str">
        <x:v>CI</x:v>
      </x:c>
      <x:c r="C11" s="18" t="str">
        <x:v>Pipeline lỗi phụ thuộc và test</x:v>
      </x:c>
      <x:c r="D11" s="18" t="str">
        <x:v>Cấu hình workflow chưa phù hợp</x:v>
      </x:c>
      <x:c r="E11" s="18" t="str">
        <x:v>Sửa action, dependency và test isolation</x:v>
      </x:c>
      <x:c r="F11" s="18" t="str">
        <x:v>Huỳnh Lê Thành Nhân</x:v>
      </x:c>
      <x:c r="G11" s="18" t="str">
        <x:v>Nguyễn Đức Mạnh hỗ trợ lỗi 404</x:v>
      </x:c>
      <x:c r="H11" s="18" t="str">
        <x:v>Đã xử lý</x:v>
      </x:c>
      <x:c r="I11" s="18" t="str">
        <x:v>8f3f7bc, 6d9e049</x:v>
      </x:c>
    </x:row>
    <x:row r="12">
      <x:c r="A12" s="35" t="n">
        <x:v>46220</x:v>
      </x:c>
      <x:c r="B12" s="18" t="str">
        <x:v>Bảo mật triển khai</x:v>
      </x:c>
      <x:c r="C12" s="18" t="str">
        <x:v>Container chưa đủ an toàn</x:v>
      </x:c>
      <x:c r="D12" s="18" t="str">
        <x:v>Cấu hình production còn thiếu</x:v>
      </x:c>
      <x:c r="E12" s="18" t="str">
        <x:v>Harden Docker và môi trường</x:v>
      </x:c>
      <x:c r="F12" s="18" t="str">
        <x:v>Huỳnh Lê Thành Nhân</x:v>
      </x:c>
      <x:c r="G12" s="18" t="str"/>
      <x:c r="H12" s="18" t="str">
        <x:v>Hoàn thành phần nền tảng</x:v>
      </x:c>
      <x:c r="I12" s="18" t="str">
        <x:v>de5b73a</x:v>
      </x:c>
    </x:row>
    <x:row r="13">
      <x:c r="A13" s="35" t="n">
        <x:v>46223</x:v>
      </x:c>
      <x:c r="B13" s="18" t="str">
        <x:v>Triển khai</x:v>
      </x:c>
      <x:c r="C13" s="18" t="str">
        <x:v>Thiếu reverse proxy/backup</x:v>
      </x:c>
      <x:c r="D13" s="18" t="str">
        <x:v>Chưa hoàn chỉnh hạ tầng vận hành</x:v>
      </x:c>
      <x:c r="E13" s="18" t="str">
        <x:v>Bổ sung Nginx và sao lưu</x:v>
      </x:c>
      <x:c r="F13" s="18" t="str">
        <x:v>Huỳnh Lê Thành Nhân</x:v>
      </x:c>
      <x:c r="G13" s="18" t="str"/>
      <x:c r="H13" s="18" t="str">
        <x:v>Đã xử lý</x:v>
      </x:c>
      <x:c r="I13" s="18" t="str">
        <x:v>a1aeb75, 0cf8cd4</x:v>
      </x:c>
    </x:row>
    <x:row r="14">
      <x:c r="A14" s="35" t="n">
        <x:v>46226</x:v>
      </x:c>
      <x:c r="B14" s="18" t="str">
        <x:v>Runtime</x:v>
      </x:c>
      <x:c r="C14" s="18" t="str">
        <x:v>Kiểm thử chấp nhận còn lỗi</x:v>
      </x:c>
      <x:c r="D14" s="18" t="str">
        <x:v>Tích hợp nhiều thành phần</x:v>
      </x:c>
      <x:c r="E14" s="18" t="str">
        <x:v>Sửa lỗi runtime và bổ sung test</x:v>
      </x:c>
      <x:c r="F14" s="18" t="str">
        <x:v>Huỳnh Lê Thành Nhân</x:v>
      </x:c>
      <x:c r="G14" s="18" t="str"/>
      <x:c r="H14" s="18" t="str">
        <x:v>Đã xử lý tại mốc giữa kỳ</x:v>
      </x:c>
      <x:c r="I14" s="18" t="str">
        <x:v>f09a486, 899c926</x:v>
      </x:c>
    </x:row>
    <x:row r="15">
      <x:c r="A15" s="35" t="n">
        <x:v>46226</x:v>
      </x:c>
      <x:c r="B15" s="18" t="str">
        <x:v>404/Login</x:v>
      </x:c>
      <x:c r="C15" s="18" t="str">
        <x:v>Một số đường dẫn không tồn tại hoặc điều hướng sai</x:v>
      </x:c>
      <x:c r="D15" s="18" t="str">
        <x:v>Route và trạng thái xác thực</x:v>
      </x:c>
      <x:c r="E15" s="18" t="str">
        <x:v>Rà ProtectedRoute và trang 404</x:v>
      </x:c>
      <x:c r="F15" s="18" t="str">
        <x:v>Huỳnh Lê Thành Nhân</x:v>
      </x:c>
      <x:c r="G15" s="18" t="str">
        <x:v>Nguyễn Đức Mạnh hỗ trợ</x:v>
      </x:c>
      <x:c r="H15" s="18" t="str">
        <x:v>Hoàn thành phần chính</x:v>
      </x:c>
      <x:c r="I15" s="18" t="str">
        <x:v>AppRouter/NotFoundPage</x:v>
      </x:c>
    </x:row>
  </x:sheetData>
  <x:mergeCells>
    <x:mergeCell ref="A1:I2"/>
  </x:mergeCells>
  <x:conditionalFormatting sqref="H5:H15">
    <x:cfRule type="containsText" dxfId="18" priority="1" operator="containsText" text="Hoàn thành"/>
    <x:cfRule type="containsText" dxfId="19" priority="2" operator="containsText" text="Đã kiểm thử"/>
    <x:cfRule type="containsText" dxfId="20" priority="3" operator="containsText" text="Đã hỗ trợ"/>
    <x:cfRule type="containsText" dxfId="21" priority="4" operator="containsText" text="Sơ khai"/>
    <x:cfRule type="containsText" dxfId="22" priority="5" operator="containsText" text="Đang"/>
    <x:cfRule type="containsText" dxfId="23" priority="6" operator="containsText" text="Chưa xác minh"/>
    <x:cfRule type="containsText" dxfId="24" priority="7" operator="containsText" text="Cần làm"/>
    <x:cfRule type="containsText" dxfId="25" priority="8" operator="containsText" text="Dự kiến"/>
    <x:cfRule type="containsText" dxfId="26" priority="9" operator="containsText" text="Chưa có sản phẩm"/>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46" hidden="0" customWidth="1"/>
    <x:col min="3" max="3" width="14" hidden="0" customWidth="1"/>
    <x:col min="4" max="4" width="14" hidden="0" customWidth="1"/>
    <x:col min="5" max="5" width="18" hidden="0" customWidth="1"/>
    <x:col min="6" max="6" width="52" hidden="0" customWidth="1"/>
    <x:col min="7" max="7" width="24" hidden="0" customWidth="1"/>
    <x:col min="8" max="8" width="28" hidden="0" customWidth="1"/>
  </x:cols>
  <x:sheetData>
    <x:row r="1" ht="38" customHeight="1">
      <x:c r="A1" s="5" t="str">
        <x:v>RỦI RO VÀ TRỞ NGẠI SPRINT 1</x:v>
      </x:c>
      <x:c r="B1" s="5"/>
      <x:c r="C1" s="5"/>
      <x:c r="D1" s="5"/>
      <x:c r="E1" s="5"/>
      <x:c r="F1" s="5"/>
      <x:c r="G1" s="5"/>
      <x:c r="H1" s="5"/>
    </x:row>
    <x:row r="2" ht="38" customHeight="1">
      <x:c r="A2" s="5"/>
      <x:c r="B2" s="5"/>
      <x:c r="C2" s="5"/>
      <x:c r="D2" s="5"/>
      <x:c r="E2" s="5"/>
      <x:c r="F2" s="5"/>
      <x:c r="G2" s="5"/>
      <x:c r="H2" s="5"/>
    </x:row>
    <x:row r="4" ht="32" customHeight="1">
      <x:c r="A4" s="11" t="str">
        <x:v>Mã</x:v>
      </x:c>
      <x:c r="B4" s="11" t="str">
        <x:v>Rủi ro/trở ngại</x:v>
      </x:c>
      <x:c r="C4" s="11" t="str">
        <x:v>Xác suất</x:v>
      </x:c>
      <x:c r="D4" s="11" t="str">
        <x:v>Ảnh hưởng</x:v>
      </x:c>
      <x:c r="E4" s="11" t="str">
        <x:v>Mức độ</x:v>
      </x:c>
      <x:c r="F4" s="11" t="str">
        <x:v>Ứng phó</x:v>
      </x:c>
      <x:c r="G4" s="11" t="str">
        <x:v>Chủ sở hữu</x:v>
      </x:c>
      <x:c r="H4" s="11" t="str">
        <x:v>Trạng thái</x:v>
      </x:c>
    </x:row>
    <x:row r="5">
      <x:c r="A5" s="17" t="str">
        <x:v>RR-01</x:v>
      </x:c>
      <x:c r="B5" s="17" t="str">
        <x:v>Thành viên phản hồi chậm hoặc không có sản phẩm bàn giao</x:v>
      </x:c>
      <x:c r="C5" s="17" t="str">
        <x:v>Cao</x:v>
      </x:c>
      <x:c r="D5" s="17" t="str">
        <x:v>Cao</x:v>
      </x:c>
      <x:c r="E5" s="17" t="str">
        <x:v>Nghiêm trọng</x:v>
      </x:c>
      <x:c r="F5" s="17" t="str">
        <x:v>Thu hẹp phạm vi demo; tách trạng thái giao việc và xác minh</x:v>
      </x:c>
      <x:c r="G5" s="17" t="str">
        <x:v>Product Owner</x:v>
      </x:c>
      <x:c r="H5" s="17" t="str">
        <x:v>Đang kiểm soát</x:v>
      </x:c>
    </x:row>
    <x:row r="6">
      <x:c r="A6" s="18" t="str">
        <x:v>RR-02</x:v>
      </x:c>
      <x:c r="B6" s="18" t="str">
        <x:v>Thiếu ảnh họp trực tiếp</x:v>
      </x:c>
      <x:c r="C6" s="18" t="str">
        <x:v>Cao</x:v>
      </x:c>
      <x:c r="D6" s="18" t="str">
        <x:v>Trung bình</x:v>
      </x:c>
      <x:c r="E6" s="18" t="str">
        <x:v>Cao</x:v>
      </x:c>
      <x:c r="F6" s="18" t="str">
        <x:v>Dùng biên bản tái dựng trung thực; không khẳng định có ảnh</x:v>
      </x:c>
      <x:c r="G6" s="18" t="str">
        <x:v>Scrum Master</x:v>
      </x:c>
      <x:c r="H6" s="18" t="str">
        <x:v>Chấp nhận</x:v>
      </x:c>
    </x:row>
    <x:row r="7">
      <x:c r="A7" s="18" t="str">
        <x:v>RR-03</x:v>
      </x:c>
      <x:c r="B7" s="18" t="str">
        <x:v>Jira không phản ánh đúng người trực tiếp triển khai</x:v>
      </x:c>
      <x:c r="C7" s="18" t="str">
        <x:v>Cao</x:v>
      </x:c>
      <x:c r="D7" s="18" t="str">
        <x:v>Cao</x:v>
      </x:c>
      <x:c r="E7" s="18" t="str">
        <x:v>Nghiêm trọng</x:v>
      </x:c>
      <x:c r="F7" s="18" t="str">
        <x:v>Đối chiếu Git, code và demo</x:v>
      </x:c>
      <x:c r="G7" s="18" t="str">
        <x:v>Product Owner</x:v>
      </x:c>
      <x:c r="H7" s="18" t="str">
        <x:v>Đã xử lý trong hồ sơ</x:v>
      </x:c>
    </x:row>
    <x:row r="8">
      <x:c r="A8" s="18" t="str">
        <x:v>RR-04</x:v>
      </x:c>
      <x:c r="B8" s="18" t="str">
        <x:v>Một số màn hình chưa chạy ổn định</x:v>
      </x:c>
      <x:c r="C8" s="18" t="str">
        <x:v>Trung bình</x:v>
      </x:c>
      <x:c r="D8" s="18" t="str">
        <x:v>Cao</x:v>
      </x:c>
      <x:c r="E8" s="18" t="str">
        <x:v>Cao</x:v>
      </x:c>
      <x:c r="F8" s="18" t="str">
        <x:v>Chỉ demo Login, Task, Project, Employee sơ khai, Notification, Calendar</x:v>
      </x:c>
      <x:c r="G8" s="18" t="str">
        <x:v>Development Team</x:v>
      </x:c>
      <x:c r="H8" s="18" t="str">
        <x:v>Chuyển phần còn lại Sprint 2</x:v>
      </x:c>
    </x:row>
    <x:row r="9">
      <x:c r="A9" s="18" t="str">
        <x:v>RR-05</x:v>
      </x:c>
      <x:c r="B9" s="18" t="str">
        <x:v>Thiếu kiểm thử đầy đủ</x:v>
      </x:c>
      <x:c r="C9" s="18" t="str">
        <x:v>Cao</x:v>
      </x:c>
      <x:c r="D9" s="18" t="str">
        <x:v>Cao</x:v>
      </x:c>
      <x:c r="E9" s="18" t="str">
        <x:v>Nghiêm trọng</x:v>
      </x:c>
      <x:c r="F9" s="18" t="str">
        <x:v>Ghi rõ trạng thái sơ khai/chưa xác minh</x:v>
      </x:c>
      <x:c r="G9" s="18" t="str">
        <x:v>QA</x:v>
      </x:c>
      <x:c r="H9" s="18" t="str">
        <x:v>Đang xử lý</x:v>
      </x:c>
    </x:row>
    <x:row r="10">
      <x:c r="A10" s="18" t="str">
        <x:v>RR-06</x:v>
      </x:c>
      <x:c r="B10" s="18" t="str">
        <x:v>Dữ liệu MSSV chưa đủ</x:v>
      </x:c>
      <x:c r="C10" s="18" t="str">
        <x:v>Trung bình</x:v>
      </x:c>
      <x:c r="D10" s="18" t="str">
        <x:v>Thấp</x:v>
      </x:c>
      <x:c r="E10" s="18" t="str">
        <x:v>Trung bình</x:v>
      </x:c>
      <x:c r="F10" s="18" t="str">
        <x:v>Để trống Phạm Tuấn Anh và Nguyễn Anh Tuấn để bổ sung</x:v>
      </x:c>
      <x:c r="G10" s="18" t="str">
        <x:v>Nhóm</x:v>
      </x:c>
      <x:c r="H10" s="18" t="str">
        <x:v>Chờ cập nhật</x:v>
      </x:c>
    </x:row>
  </x:sheetData>
  <x:mergeCells>
    <x:mergeCell ref="A1:H2"/>
  </x:mergeCells>
  <x:conditionalFormatting sqref="H5:H10">
    <x:cfRule type="containsText" dxfId="27" priority="1" operator="containsText" text="Hoàn thành"/>
    <x:cfRule type="containsText" dxfId="28" priority="2" operator="containsText" text="Đã kiểm thử"/>
    <x:cfRule type="containsText" dxfId="29" priority="3" operator="containsText" text="Đã hỗ trợ"/>
    <x:cfRule type="containsText" dxfId="30" priority="4" operator="containsText" text="Sơ khai"/>
    <x:cfRule type="containsText" dxfId="31" priority="5" operator="containsText" text="Đang"/>
    <x:cfRule type="containsText" dxfId="32" priority="6" operator="containsText" text="Chưa xác minh"/>
    <x:cfRule type="containsText" dxfId="33" priority="7" operator="containsText" text="Cần làm"/>
    <x:cfRule type="containsText" dxfId="34" priority="8" operator="containsText" text="Dự kiến"/>
    <x:cfRule type="containsText" dxfId="35" priority="9" operator="containsText" text="Chưa có sản phẩm"/>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4" hidden="0" customWidth="1"/>
    <x:col min="3" max="3" width="38" hidden="0" customWidth="1"/>
    <x:col min="4" max="4" width="62" hidden="0" customWidth="1"/>
    <x:col min="5" max="5" width="28" hidden="0" customWidth="1"/>
    <x:col min="6" max="6" width="22" hidden="0" customWidth="1"/>
    <x:col min="7" max="7" width="48" hidden="0" customWidth="1"/>
  </x:cols>
  <x:sheetData>
    <x:row r="1" ht="54" customHeight="1">
      <x:c r="A1" s="5" t="str">
        <x:v>DANH MỤC BẰNG CHỨNG
Ảnh giao diện sẽ do nhóm bổ sung sau</x:v>
      </x:c>
      <x:c r="B1" s="5"/>
      <x:c r="C1" s="5"/>
      <x:c r="D1" s="5"/>
      <x:c r="E1" s="5"/>
      <x:c r="F1" s="5"/>
      <x:c r="G1" s="5"/>
    </x:row>
    <x:row r="2" ht="54" customHeight="1">
      <x:c r="A2" s="5"/>
      <x:c r="B2" s="5"/>
      <x:c r="C2" s="5"/>
      <x:c r="D2" s="5"/>
      <x:c r="E2" s="5"/>
      <x:c r="F2" s="5"/>
      <x:c r="G2" s="5"/>
    </x:row>
    <x:row r="4" ht="32" customHeight="1">
      <x:c r="A4" s="11" t="str">
        <x:v>Mã</x:v>
      </x:c>
      <x:c r="B4" s="11" t="str">
        <x:v>Loại</x:v>
      </x:c>
      <x:c r="C4" s="11" t="str">
        <x:v>Nội dung</x:v>
      </x:c>
      <x:c r="D4" s="11" t="str">
        <x:v>Vị trí/đường dẫn</x:v>
      </x:c>
      <x:c r="E4" s="11" t="str">
        <x:v>Người liên quan</x:v>
      </x:c>
      <x:c r="F4" s="11" t="str">
        <x:v>Trạng thái</x:v>
      </x:c>
      <x:c r="G4" s="11" t="str">
        <x:v>Ghi chú</x:v>
      </x:c>
    </x:row>
    <x:row r="5">
      <x:c r="A5" s="17" t="str">
        <x:v>BC-01</x:v>
      </x:c>
      <x:c r="B5" s="17" t="str">
        <x:v>Jira</x:v>
      </x:c>
      <x:c r="C5" s="17" t="str">
        <x:v>50 issue của dự án JD</x:v>
      </x:c>
      <x:c r="D5" s="17" t="str">
        <x:v>https://task-snycs-enterprise.atlassian.net/issues/?jql=project%20%3D%20JD%20ORDER%20BY%20key%20ASC</x:v>
      </x:c>
      <x:c r="E5" s="17" t="str">
        <x:v>Nhóm</x:v>
      </x:c>
      <x:c r="F5" s="17" t="str">
        <x:v>Có</x:v>
      </x:c>
      <x:c r="G5" s="17" t="str">
        <x:v>Chỉ dùng làm nguồn phân công/trạng thái</x:v>
      </x:c>
    </x:row>
    <x:row r="6">
      <x:c r="A6" s="18" t="str">
        <x:v>BC-02</x:v>
      </x:c>
      <x:c r="B6" s="18" t="str">
        <x:v>Git</x:v>
      </x:c>
      <x:c r="C6" s="18" t="str">
        <x:v>79 commit từ 04/07 đến 23/07</x:v>
      </x:c>
      <x:c r="D6" s="18" t="str">
        <x:v>E:\TaskSyncEnterprise\.git</x:v>
      </x:c>
      <x:c r="E6" s="18" t="str">
        <x:v>Huỳnh Lê Thành Nhân</x:v>
      </x:c>
      <x:c r="F6" s="18" t="str">
        <x:v>Có</x:v>
      </x:c>
      <x:c r="G6" s="18" t="str">
        <x:v>Ba biến thể tên tác giả cùng một người</x:v>
      </x:c>
    </x:row>
    <x:row r="7">
      <x:c r="A7" s="18" t="str">
        <x:v>BC-03</x:v>
      </x:c>
      <x:c r="B7" s="18" t="str">
        <x:v>Mã nguồn</x:v>
      </x:c>
      <x:c r="C7" s="18" t="str">
        <x:v>Frontend, Backend, Database</x:v>
      </x:c>
      <x:c r="D7" s="18" t="str">
        <x:v>E:\TaskSyncEnterprise</x:v>
      </x:c>
      <x:c r="E7" s="18" t="str">
        <x:v>Huỳnh Lê Thành Nhân</x:v>
      </x:c>
      <x:c r="F7" s="18" t="str">
        <x:v>Có</x:v>
      </x:c>
      <x:c r="G7" s="18" t="str">
        <x:v>Dùng xác minh chức năng</x:v>
      </x:c>
    </x:row>
    <x:row r="8">
      <x:c r="A8" s="18" t="str">
        <x:v>BC-04</x:v>
      </x:c>
      <x:c r="B8" s="18" t="str">
        <x:v>Ảnh</x:v>
      </x:c>
      <x:c r="C8" s="18" t="str">
        <x:v>Giao diện Login</x:v>
      </x:c>
      <x:c r="D8" s="18" t="str">
        <x:v>Hình X. Giao diện đăng nhập</x:v>
      </x:c>
      <x:c r="E8" s="18" t="str">
        <x:v>Nhóm bổ sung</x:v>
      </x:c>
      <x:c r="F8" s="18" t="str">
        <x:v>Chưa bổ sung</x:v>
      </x:c>
      <x:c r="G8" s="18" t="str"/>
    </x:row>
    <x:row r="9">
      <x:c r="A9" s="18" t="str">
        <x:v>BC-05</x:v>
      </x:c>
      <x:c r="B9" s="18" t="str">
        <x:v>Ảnh</x:v>
      </x:c>
      <x:c r="C9" s="18" t="str">
        <x:v>Giao diện Task/Kanban</x:v>
      </x:c>
      <x:c r="D9" s="18" t="str">
        <x:v>Hình X. Giao diện quản lý công việc</x:v>
      </x:c>
      <x:c r="E9" s="18" t="str">
        <x:v>Nhóm bổ sung</x:v>
      </x:c>
      <x:c r="F9" s="18" t="str">
        <x:v>Chưa bổ sung</x:v>
      </x:c>
      <x:c r="G9" s="18" t="str"/>
    </x:row>
    <x:row r="10">
      <x:c r="A10" s="18" t="str">
        <x:v>BC-06</x:v>
      </x:c>
      <x:c r="B10" s="18" t="str">
        <x:v>Ảnh</x:v>
      </x:c>
      <x:c r="C10" s="18" t="str">
        <x:v>Giao diện Project</x:v>
      </x:c>
      <x:c r="D10" s="18" t="str">
        <x:v>Hình X. Giao diện quản lý dự án</x:v>
      </x:c>
      <x:c r="E10" s="18" t="str">
        <x:v>Nhóm bổ sung</x:v>
      </x:c>
      <x:c r="F10" s="18" t="str">
        <x:v>Chưa bổ sung</x:v>
      </x:c>
      <x:c r="G10" s="18" t="str"/>
    </x:row>
    <x:row r="11">
      <x:c r="A11" s="18" t="str">
        <x:v>BC-07</x:v>
      </x:c>
      <x:c r="B11" s="18" t="str">
        <x:v>Ảnh</x:v>
      </x:c>
      <x:c r="C11" s="18" t="str">
        <x:v>Giao diện Employee sơ khai</x:v>
      </x:c>
      <x:c r="D11" s="18" t="str">
        <x:v>Hình X. Giao diện quản lý nhân viên</x:v>
      </x:c>
      <x:c r="E11" s="18" t="str">
        <x:v>Nhóm bổ sung</x:v>
      </x:c>
      <x:c r="F11" s="18" t="str">
        <x:v>Chưa bổ sung</x:v>
      </x:c>
      <x:c r="G11" s="18" t="str"/>
    </x:row>
    <x:row r="12">
      <x:c r="A12" s="18" t="str">
        <x:v>BC-08</x:v>
      </x:c>
      <x:c r="B12" s="18" t="str">
        <x:v>Ảnh</x:v>
      </x:c>
      <x:c r="C12" s="18" t="str">
        <x:v>Notification và Calendar</x:v>
      </x:c>
      <x:c r="D12" s="18" t="str">
        <x:v>Hình X. Trung tâm thông báo và lịch công việc</x:v>
      </x:c>
      <x:c r="E12" s="18" t="str">
        <x:v>Nhóm bổ sung</x:v>
      </x:c>
      <x:c r="F12" s="18" t="str">
        <x:v>Chưa bổ sung</x:v>
      </x:c>
      <x:c r="G12" s="18" t="str"/>
    </x:row>
    <x:row r="13">
      <x:c r="A13" s="18" t="str">
        <x:v>BC-09</x:v>
      </x:c>
      <x:c r="B13" s="18" t="str">
        <x:v>Biên bản</x:v>
      </x:c>
      <x:c r="C13" s="18" t="str">
        <x:v>Họp trực tiếp thứ Hai/thứ Tư</x:v>
      </x:c>
      <x:c r="D13" s="18" t="str">
        <x:v>Daily Scrum Sprint 1</x:v>
      </x:c>
      <x:c r="E13" s="18" t="str">
        <x:v>Nhóm</x:v>
      </x:c>
      <x:c r="F13" s="18" t="str">
        <x:v>Không có ảnh</x:v>
      </x:c>
      <x:c r="G13" s="18" t="str">
        <x:v>Báo cáo dùng biên bản tái dựng theo thông tin Product Owner</x:v>
      </x:c>
    </x:row>
  </x:sheetData>
  <x:mergeCells>
    <x:mergeCell ref="A1:G2"/>
  </x:mergeCells>
  <x:conditionalFormatting sqref="F5:F13">
    <x:cfRule type="containsText" dxfId="36" priority="1" operator="containsText" text="Hoàn thành"/>
    <x:cfRule type="containsText" dxfId="37" priority="2" operator="containsText" text="Đã kiểm thử"/>
    <x:cfRule type="containsText" dxfId="38" priority="3" operator="containsText" text="Đã hỗ trợ"/>
    <x:cfRule type="containsText" dxfId="39" priority="4" operator="containsText" text="Sơ khai"/>
    <x:cfRule type="containsText" dxfId="40" priority="5" operator="containsText" text="Đang"/>
    <x:cfRule type="containsText" dxfId="41" priority="6" operator="containsText" text="Chưa xác minh"/>
    <x:cfRule type="containsText" dxfId="42" priority="7" operator="containsText" text="Cần làm"/>
    <x:cfRule type="containsText" dxfId="43" priority="8" operator="containsText" text="Dự kiến"/>
    <x:cfRule type="containsText" dxfId="44" priority="9" operator="containsText" text="Chưa có sản phẩm"/>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9" hidden="0" customWidth="1"/>
    <x:col min="2" max="2" width="9" hidden="0" customWidth="1"/>
    <x:col min="3" max="3" width="10" hidden="0" customWidth="1"/>
    <x:col min="4" max="4" width="32" hidden="0" customWidth="1"/>
    <x:col min="5" max="5" width="46" hidden="0" customWidth="1"/>
    <x:col min="6" max="6" width="12" hidden="0" customWidth="1"/>
    <x:col min="7" max="7" width="9" hidden="0" customWidth="1"/>
    <x:col min="8" max="8" width="12" hidden="0" customWidth="1"/>
    <x:col min="9" max="9" width="18" hidden="0" customWidth="1"/>
    <x:col min="10" max="10" width="29" hidden="0" customWidth="1"/>
    <x:col min="11" max="11" width="24" hidden="0" customWidth="1"/>
    <x:col min="12" max="12" width="40" hidden="0" customWidth="1"/>
    <x:col min="13" max="13" width="52" hidden="0" customWidth="1"/>
    <x:col min="14" max="14" width="35" hidden="0" customWidth="1"/>
    <x:col min="15" max="15" width="16" hidden="0" customWidth="1"/>
    <x:col min="16" max="16" width="34" hidden="0" customWidth="1"/>
  </x:cols>
  <x:sheetData>
    <x:row r="1" ht="54" customHeight="1">
      <x:c r="A1" s="5" t="str">
        <x:v>SPRINT 2
20 User Story</x:v>
      </x:c>
      <x:c r="B1" s="5"/>
      <x:c r="C1" s="5"/>
      <x:c r="D1" s="5"/>
      <x:c r="E1" s="5"/>
      <x:c r="F1" s="5"/>
      <x:c r="G1" s="5"/>
      <x:c r="H1" s="5"/>
      <x:c r="I1" s="5"/>
      <x:c r="J1" s="5"/>
      <x:c r="K1" s="5"/>
      <x:c r="L1" s="5"/>
      <x:c r="M1" s="5"/>
      <x:c r="N1" s="5"/>
      <x:c r="O1" s="5"/>
      <x:c r="P1" s="5"/>
    </x:row>
    <x:row r="2" ht="54" customHeight="1">
      <x:c r="A2" s="5"/>
      <x:c r="B2" s="5"/>
      <x:c r="C2" s="5"/>
      <x:c r="D2" s="5"/>
      <x:c r="E2" s="5"/>
      <x:c r="F2" s="5"/>
      <x:c r="G2" s="5"/>
      <x:c r="H2" s="5"/>
      <x:c r="I2" s="5"/>
      <x:c r="J2" s="5"/>
      <x:c r="K2" s="5"/>
      <x:c r="L2" s="5"/>
      <x:c r="M2" s="5"/>
      <x:c r="N2" s="5"/>
      <x:c r="O2" s="5"/>
      <x:c r="P2" s="5"/>
    </x:row>
    <x:row r="4" ht="32" customHeight="1">
      <x:c r="A4" s="11" t="str">
        <x:v>Mã</x:v>
      </x:c>
      <x:c r="B4" s="11" t="str">
        <x:v>Jira</x:v>
      </x:c>
      <x:c r="C4" s="11" t="str">
        <x:v>Epic</x:v>
      </x:c>
      <x:c r="D4" s="11" t="str">
        <x:v>Tên User Story</x:v>
      </x:c>
      <x:c r="E4" s="11" t="str">
        <x:v>Câu chuyện người dùng</x:v>
      </x:c>
      <x:c r="F4" s="11" t="str">
        <x:v>Ưu tiên</x:v>
      </x:c>
      <x:c r="G4" s="11" t="str">
        <x:v>Điểm</x:v>
      </x:c>
      <x:c r="H4" s="11" t="str">
        <x:v>Sprint</x:v>
      </x:c>
      <x:c r="I4" s="11" t="str">
        <x:v>Trạng thái Jira</x:v>
      </x:c>
      <x:c r="J4" s="11" t="str">
        <x:v>Trạng thái đã xác minh</x:v>
      </x:c>
      <x:c r="K4" s="11" t="str">
        <x:v>Người được giao trên Jira</x:v>
      </x:c>
      <x:c r="L4" s="11" t="str">
        <x:v>Người thực hiện/xác minh</x:v>
      </x:c>
      <x:c r="M4" s="11" t="str">
        <x:v>Tiêu chí chấp nhận</x:v>
      </x:c>
      <x:c r="N4" s="11" t="str">
        <x:v>Nguồn</x:v>
      </x:c>
      <x:c r="O4" s="11" t="str">
        <x:v>Ngày kết thúc Sprint</x:v>
      </x:c>
      <x:c r="P4" s="11" t="str">
        <x:v>Ghi chú</x:v>
      </x:c>
    </x:row>
    <x:row r="5">
      <x:c r="A5" s="17" t="str">
        <x:v>US06</x:v>
      </x:c>
      <x:c r="B5" s="17" t="str">
        <x:v>JD-19</x:v>
      </x:c>
      <x:c r="C5" s="17" t="str">
        <x:v>EP02</x:v>
      </x:c>
      <x:c r="D5" s="17" t="str">
        <x:v>Nhập danh sách nhân viên hàng loạt</x:v>
      </x:c>
      <x:c r="E5" s="17" t="str">
        <x:v>Là quản trị viên nhân sự, tôi muốn nhập danh sách nhân viên hàng loạt để quản lý hồ sơ nhân sự nhất quán.</x:v>
      </x:c>
      <x:c r="F5" s="17" t="str">
        <x:v>Trung bình</x:v>
      </x:c>
      <x:c r="G5" s="45" t="n">
        <x:v>8</x:v>
      </x:c>
      <x:c r="H5" s="17" t="str">
        <x:v>Sprint 2</x:v>
      </x:c>
      <x:c r="I5" s="17" t="str">
        <x:v>Hoàn thành</x:v>
      </x:c>
      <x:c r="J5" s="17" t="str">
        <x:v>Kế hoạch hoặc thực hiện sau ngày 23/07/2026</x:v>
      </x:c>
      <x:c r="K5" s="17" t="str">
        <x:v>Phạm Tuấn Anh</x:v>
      </x:c>
      <x:c r="L5" s="17" t="str">
        <x:v>Phạm Tuấn Anh được giao trên Jira; chưa có sản phẩm bàn giao để xác minh</x:v>
      </x:c>
      <x:c r="M5" s="17" t="str">
        <x:v>Chức năng “Nhập danh sách nhân viên hàng loạt” xử lý được dữ liệu hợp lệ; trường hợp sai dữ liệu hoặc sai quyền có thông báo rõ ràng; dữ liệu lưu nhất quán và có thể kiểm tra lại bằng mã nguồn, kiểm thử hoặc giao diện.</x:v>
      </x:c>
      <x:c r="N5" s="17" t="str">
        <x:v>Jira; Jira được cập nhật sau mốc kết thúc Sprint 1</x:v>
      </x:c>
      <x:c r="O5" s="34" t="n">
        <x:v>46254</x:v>
      </x:c>
      <x:c r="P5" s="17" t="str">
        <x:v>Dự kiến hoặc tiếp tục xác minh sau giữa kỳ</x:v>
      </x:c>
    </x:row>
    <x:row r="6">
      <x:c r="A6" s="18" t="str">
        <x:v>US07</x:v>
      </x:c>
      <x:c r="B6" s="18" t="str">
        <x:v>JD-20</x:v>
      </x:c>
      <x:c r="C6" s="18" t="str">
        <x:v>EP02</x:v>
      </x:c>
      <x:c r="D6" s="18" t="str">
        <x:v>Gán người quản lý trực tiếp</x:v>
      </x:c>
      <x:c r="E6" s="18" t="str">
        <x:v>Là quản trị viên nhân sự, tôi muốn gán người quản lý trực tiếp để quản lý hồ sơ nhân sự nhất quán.</x:v>
      </x:c>
      <x:c r="F6" s="18" t="str">
        <x:v>Cao</x:v>
      </x:c>
      <x:c r="G6" s="46" t="n">
        <x:v>3</x:v>
      </x:c>
      <x:c r="H6" s="18" t="str">
        <x:v>Sprint 2</x:v>
      </x:c>
      <x:c r="I6" s="18" t="str">
        <x:v>Hoàn thành</x:v>
      </x:c>
      <x:c r="J6" s="18" t="str">
        <x:v>Kế hoạch hoặc thực hiện sau ngày 23/07/2026</x:v>
      </x:c>
      <x:c r="K6" s="18" t="str">
        <x:v>Mạnh Nguyễn Đức</x:v>
      </x:c>
      <x:c r="L6" s="18" t="str">
        <x:v>Huỳnh Lê Thành Nhân</x:v>
      </x:c>
      <x:c r="M6" s="18" t="str">
        <x:v>Chức năng “Gán người quản lý trực tiếp” xử lý được dữ liệu hợp lệ; trường hợp sai dữ liệu hoặc sai quyền có thông báo rõ ràng; dữ liệu lưu nhất quán và có thể kiểm tra lại bằng mã nguồn, kiểm thử hoặc giao diện.</x:v>
      </x:c>
      <x:c r="N6" s="18" t="str">
        <x:v>Jira; Jira được cập nhật sau mốc kết thúc Sprint 1</x:v>
      </x:c>
      <x:c r="O6" s="35" t="n">
        <x:v>46254</x:v>
      </x:c>
      <x:c r="P6" s="18" t="str">
        <x:v>Dự kiến hoặc tiếp tục xác minh sau giữa kỳ</x:v>
      </x:c>
    </x:row>
    <x:row r="7">
      <x:c r="A7" s="18" t="str">
        <x:v>US08</x:v>
      </x:c>
      <x:c r="B7" s="18" t="str">
        <x:v>JD-21</x:v>
      </x:c>
      <x:c r="C7" s="18" t="str">
        <x:v>EP03</x:v>
      </x:c>
      <x:c r="D7" s="18" t="str">
        <x:v>Thiết lập cơ cấu phòng ban</x:v>
      </x:c>
      <x:c r="E7" s="18" t="str">
        <x:v>Là quản trị viên tổ chức, tôi muốn thiết lập cơ cấu phòng ban để duy trì cơ cấu tổ chức rõ ràng.</x:v>
      </x:c>
      <x:c r="F7" s="18" t="str">
        <x:v>Cao</x:v>
      </x:c>
      <x:c r="G7" s="46" t="n">
        <x:v>3</x:v>
      </x:c>
      <x:c r="H7" s="18" t="str">
        <x:v>Sprint 2</x:v>
      </x:c>
      <x:c r="I7" s="18" t="str">
        <x:v>Hoàn thành</x:v>
      </x:c>
      <x:c r="J7" s="18" t="str">
        <x:v>Kế hoạch hoặc thực hiện sau ngày 23/07/2026</x:v>
      </x:c>
      <x:c r="K7" s="18" t="str">
        <x:v>Mạnh Nguyễn Đức</x:v>
      </x:c>
      <x:c r="L7" s="18" t="str">
        <x:v>Huỳnh Lê Thành Nhân</x:v>
      </x:c>
      <x:c r="M7" s="18" t="str">
        <x:v>Chức năng “Thiết lập cơ cấu phòng ban” xử lý được dữ liệu hợp lệ; trường hợp sai dữ liệu hoặc sai quyền có thông báo rõ ràng; dữ liệu lưu nhất quán và có thể kiểm tra lại bằng mã nguồn, kiểm thử hoặc giao diện.</x:v>
      </x:c>
      <x:c r="N7" s="18" t="str">
        <x:v>Jira; Jira được cập nhật sau mốc kết thúc Sprint 1</x:v>
      </x:c>
      <x:c r="O7" s="35" t="n">
        <x:v>46254</x:v>
      </x:c>
      <x:c r="P7" s="18" t="str">
        <x:v>Dự kiến hoặc tiếp tục xác minh sau giữa kỳ</x:v>
      </x:c>
    </x:row>
    <x:row r="8">
      <x:c r="A8" s="18" t="str">
        <x:v>US09</x:v>
      </x:c>
      <x:c r="B8" s="18" t="str">
        <x:v>JD-22</x:v>
      </x:c>
      <x:c r="C8" s="18" t="str">
        <x:v>EP03</x:v>
      </x:c>
      <x:c r="D8" s="18" t="str">
        <x:v>Bổ nhiệm trưởng phòng</x:v>
      </x:c>
      <x:c r="E8" s="18" t="str">
        <x:v>Là quản trị viên tổ chức, tôi muốn bổ nhiệm trưởng phòng để duy trì cơ cấu tổ chức rõ ràng.</x:v>
      </x:c>
      <x:c r="F8" s="18" t="str">
        <x:v>Trung bình</x:v>
      </x:c>
      <x:c r="G8" s="46" t="n">
        <x:v>3</x:v>
      </x:c>
      <x:c r="H8" s="18" t="str">
        <x:v>Sprint 2</x:v>
      </x:c>
      <x:c r="I8" s="18" t="str">
        <x:v>Đang thực hiện</x:v>
      </x:c>
      <x:c r="J8" s="18" t="str">
        <x:v>Kế hoạch hoặc thực hiện sau ngày 23/07/2026</x:v>
      </x:c>
      <x:c r="K8" s="18" t="str">
        <x:v>Phạm Tuấn Anh</x:v>
      </x:c>
      <x:c r="L8" s="18" t="str">
        <x:v>Phạm Tuấn Anh được giao trên Jira; chưa có sản phẩm bàn giao để xác minh</x:v>
      </x:c>
      <x:c r="M8" s="18" t="str">
        <x:v>Chức năng “Bổ nhiệm trưởng phòng” xử lý được dữ liệu hợp lệ; trường hợp sai dữ liệu hoặc sai quyền có thông báo rõ ràng; dữ liệu lưu nhất quán và có thể kiểm tra lại bằng mã nguồn, kiểm thử hoặc giao diện.</x:v>
      </x:c>
      <x:c r="N8" s="18" t="str">
        <x:v>Jira</x:v>
      </x:c>
      <x:c r="O8" s="35" t="n">
        <x:v>46254</x:v>
      </x:c>
      <x:c r="P8" s="18" t="str">
        <x:v>Dự kiến hoặc tiếp tục xác minh sau giữa kỳ</x:v>
      </x:c>
    </x:row>
    <x:row r="9">
      <x:c r="A9" s="18" t="str">
        <x:v>US13</x:v>
      </x:c>
      <x:c r="B9" s="18" t="str">
        <x:v>JD-26</x:v>
      </x:c>
      <x:c r="C9" s="18" t="str">
        <x:v>EP04</x:v>
      </x:c>
      <x:c r="D9" s="18" t="str">
        <x:v>Theo dõi cột mốc dự án</x:v>
      </x:c>
      <x:c r="E9" s="18" t="str">
        <x:v>Là quản lý dự án, tôi muốn theo dõi cột mốc dự án để lập kế hoạch và phân công nguồn lực minh bạch.</x:v>
      </x:c>
      <x:c r="F9" s="18" t="str">
        <x:v>Trung bình</x:v>
      </x:c>
      <x:c r="G9" s="46" t="n">
        <x:v>3</x:v>
      </x:c>
      <x:c r="H9" s="18" t="str">
        <x:v>Sprint 2</x:v>
      </x:c>
      <x:c r="I9" s="18" t="str">
        <x:v>Cần làm</x:v>
      </x:c>
      <x:c r="J9" s="18" t="str">
        <x:v>Kế hoạch hoặc thực hiện sau ngày 23/07/2026</x:v>
      </x:c>
      <x:c r="K9" s="18" t="str">
        <x:v>Chưa giao</x:v>
      </x:c>
      <x:c r="L9" s="18" t="str">
        <x:v>Huỳnh Lê Thành Nhân</x:v>
      </x:c>
      <x:c r="M9" s="18" t="str">
        <x:v>Chức năng “Theo dõi cột mốc dự án” xử lý được dữ liệu hợp lệ; trường hợp sai dữ liệu hoặc sai quyền có thông báo rõ ràng; dữ liệu lưu nhất quán và có thể kiểm tra lại bằng mã nguồn, kiểm thử hoặc giao diện.</x:v>
      </x:c>
      <x:c r="N9" s="18" t="str">
        <x:v>Jira</x:v>
      </x:c>
      <x:c r="O9" s="35" t="n">
        <x:v>46254</x:v>
      </x:c>
      <x:c r="P9" s="18" t="str">
        <x:v>Dự kiến hoặc tiếp tục xác minh sau giữa kỳ</x:v>
      </x:c>
    </x:row>
    <x:row r="10">
      <x:c r="A10" s="18" t="str">
        <x:v>US23</x:v>
      </x:c>
      <x:c r="B10" s="18" t="str">
        <x:v>JD-36</x:v>
      </x:c>
      <x:c r="C10" s="18" t="str">
        <x:v>EP07</x:v>
      </x:c>
      <x:c r="D10" s="18" t="str">
        <x:v>Dọn dẹp tệp không còn sử dụng</x:v>
      </x:c>
      <x:c r="E10" s="18" t="str">
        <x:v>Là người dùng dự án, tôi muốn dọn dẹp tệp không còn sử dụng để quản lý tài liệu an toàn và có thể truy vết.</x:v>
      </x:c>
      <x:c r="F10" s="18" t="str">
        <x:v>Trung bình</x:v>
      </x:c>
      <x:c r="G10" s="46" t="n">
        <x:v>3</x:v>
      </x:c>
      <x:c r="H10" s="18" t="str">
        <x:v>Sprint 2</x:v>
      </x:c>
      <x:c r="I10" s="18" t="str">
        <x:v>Cần làm</x:v>
      </x:c>
      <x:c r="J10" s="18" t="str">
        <x:v>Kế hoạch hoặc thực hiện sau ngày 23/07/2026</x:v>
      </x:c>
      <x:c r="K10" s="18" t="str">
        <x:v>Chưa giao</x:v>
      </x:c>
      <x:c r="L10" s="18" t="str">
        <x:v>Huỳnh Lê Thành Nhân</x:v>
      </x:c>
      <x:c r="M10" s="18" t="str">
        <x:v>Chức năng “Dọn dẹp tệp không còn sử dụng” xử lý được dữ liệu hợp lệ; trường hợp sai dữ liệu hoặc sai quyền có thông báo rõ ràng; dữ liệu lưu nhất quán và có thể kiểm tra lại bằng mã nguồn, kiểm thử hoặc giao diện.</x:v>
      </x:c>
      <x:c r="N10" s="18" t="str">
        <x:v>Jira</x:v>
      </x:c>
      <x:c r="O10" s="35" t="n">
        <x:v>46254</x:v>
      </x:c>
      <x:c r="P10" s="18" t="str">
        <x:v>Dự kiến hoặc tiếp tục xác minh sau giữa kỳ</x:v>
      </x:c>
    </x:row>
    <x:row r="11">
      <x:c r="A11" s="18" t="str">
        <x:v>US24</x:v>
      </x:c>
      <x:c r="B11" s="18" t="str">
        <x:v>JD-37</x:v>
      </x:c>
      <x:c r="C11" s="18" t="str">
        <x:v>EP08</x:v>
      </x:c>
      <x:c r="D11" s="18" t="str">
        <x:v>Gửi yêu cầu nghỉ phép</x:v>
      </x:c>
      <x:c r="E11" s="18" t="str">
        <x:v>Là nhân viên, tôi muốn gửi yêu cầu nghỉ phép để thực hiện quy trình nghỉ phép đúng quy định.</x:v>
      </x:c>
      <x:c r="F11" s="18" t="str">
        <x:v>Trung bình</x:v>
      </x:c>
      <x:c r="G11" s="46" t="n">
        <x:v>3</x:v>
      </x:c>
      <x:c r="H11" s="18" t="str">
        <x:v>Sprint 2</x:v>
      </x:c>
      <x:c r="I11" s="18" t="str">
        <x:v>Cần làm</x:v>
      </x:c>
      <x:c r="J11" s="18" t="str">
        <x:v>Kế hoạch hoặc thực hiện sau ngày 23/07/2026</x:v>
      </x:c>
      <x:c r="K11" s="18" t="str">
        <x:v>Chưa giao</x:v>
      </x:c>
      <x:c r="L11" s="18" t="str">
        <x:v>Huỳnh Lê Thành Nhân</x:v>
      </x:c>
      <x:c r="M11" s="18" t="str">
        <x:v>Chức năng “Gửi yêu cầu nghỉ phép” xử lý được dữ liệu hợp lệ; trường hợp sai dữ liệu hoặc sai quyền có thông báo rõ ràng; dữ liệu lưu nhất quán và có thể kiểm tra lại bằng mã nguồn, kiểm thử hoặc giao diện.</x:v>
      </x:c>
      <x:c r="N11" s="18" t="str">
        <x:v>Jira</x:v>
      </x:c>
      <x:c r="O11" s="35" t="n">
        <x:v>46254</x:v>
      </x:c>
      <x:c r="P11" s="18" t="str">
        <x:v>Dự kiến hoặc tiếp tục xác minh sau giữa kỳ</x:v>
      </x:c>
    </x:row>
    <x:row r="12">
      <x:c r="A12" s="18" t="str">
        <x:v>US25</x:v>
      </x:c>
      <x:c r="B12" s="18" t="str">
        <x:v>JD-38</x:v>
      </x:c>
      <x:c r="C12" s="18" t="str">
        <x:v>EP08</x:v>
      </x:c>
      <x:c r="D12" s="18" t="str">
        <x:v>Phê duyệt yêu cầu nghỉ phép</x:v>
      </x:c>
      <x:c r="E12" s="18" t="str">
        <x:v>Là nhân viên, tôi muốn phê duyệt yêu cầu nghỉ phép để thực hiện quy trình nghỉ phép đúng quy định.</x:v>
      </x:c>
      <x:c r="F12" s="18" t="str">
        <x:v>Trung bình</x:v>
      </x:c>
      <x:c r="G12" s="46" t="n">
        <x:v>8</x:v>
      </x:c>
      <x:c r="H12" s="18" t="str">
        <x:v>Sprint 2</x:v>
      </x:c>
      <x:c r="I12" s="18" t="str">
        <x:v>Cần làm</x:v>
      </x:c>
      <x:c r="J12" s="18" t="str">
        <x:v>Kế hoạch hoặc thực hiện sau ngày 23/07/2026</x:v>
      </x:c>
      <x:c r="K12" s="18" t="str">
        <x:v>Chưa giao</x:v>
      </x:c>
      <x:c r="L12" s="18" t="str">
        <x:v>Huỳnh Lê Thành Nhân</x:v>
      </x:c>
      <x:c r="M12" s="18" t="str">
        <x:v>Chức năng “Phê duyệt yêu cầu nghỉ phép” xử lý được dữ liệu hợp lệ; trường hợp sai dữ liệu hoặc sai quyền có thông báo rõ ràng; dữ liệu lưu nhất quán và có thể kiểm tra lại bằng mã nguồn, kiểm thử hoặc giao diện.</x:v>
      </x:c>
      <x:c r="N12" s="18" t="str">
        <x:v>Jira</x:v>
      </x:c>
      <x:c r="O12" s="35" t="n">
        <x:v>46254</x:v>
      </x:c>
      <x:c r="P12" s="18" t="str">
        <x:v>Dự kiến hoặc tiếp tục xác minh sau giữa kỳ</x:v>
      </x:c>
    </x:row>
    <x:row r="13">
      <x:c r="A13" s="18" t="str">
        <x:v>US26</x:v>
      </x:c>
      <x:c r="B13" s="18" t="str">
        <x:v>JD-39</x:v>
      </x:c>
      <x:c r="C13" s="18" t="str">
        <x:v>EP08</x:v>
      </x:c>
      <x:c r="D13" s="18" t="str">
        <x:v>Tính số dư phép năm</x:v>
      </x:c>
      <x:c r="E13" s="18" t="str">
        <x:v>Là nhân viên, tôi muốn tính số dư phép năm để thực hiện quy trình nghỉ phép đúng quy định.</x:v>
      </x:c>
      <x:c r="F13" s="18" t="str">
        <x:v>Trung bình</x:v>
      </x:c>
      <x:c r="G13" s="46" t="n">
        <x:v>3</x:v>
      </x:c>
      <x:c r="H13" s="18" t="str">
        <x:v>Sprint 2</x:v>
      </x:c>
      <x:c r="I13" s="18" t="str">
        <x:v>Cần làm</x:v>
      </x:c>
      <x:c r="J13" s="18" t="str">
        <x:v>Kế hoạch hoặc thực hiện sau ngày 23/07/2026</x:v>
      </x:c>
      <x:c r="K13" s="18" t="str">
        <x:v>Chưa giao</x:v>
      </x:c>
      <x:c r="L13" s="18" t="str">
        <x:v>Huỳnh Lê Thành Nhân</x:v>
      </x:c>
      <x:c r="M13" s="18" t="str">
        <x:v>Chức năng “Tính số dư phép năm” xử lý được dữ liệu hợp lệ; trường hợp sai dữ liệu hoặc sai quyền có thông báo rõ ràng; dữ liệu lưu nhất quán và có thể kiểm tra lại bằng mã nguồn, kiểm thử hoặc giao diện.</x:v>
      </x:c>
      <x:c r="N13" s="18" t="str">
        <x:v>Jira</x:v>
      </x:c>
      <x:c r="O13" s="35" t="n">
        <x:v>46254</x:v>
      </x:c>
      <x:c r="P13" s="18" t="str">
        <x:v>Dự kiến hoặc tiếp tục xác minh sau giữa kỳ</x:v>
      </x:c>
    </x:row>
    <x:row r="14">
      <x:c r="A14" s="18" t="str">
        <x:v>US27</x:v>
      </x:c>
      <x:c r="B14" s="18" t="str">
        <x:v>JD-40</x:v>
      </x:c>
      <x:c r="C14" s="18" t="str">
        <x:v>EP08</x:v>
      </x:c>
      <x:c r="D14" s="18" t="str">
        <x:v>Hủy yêu cầu nghỉ khẩn cấp</x:v>
      </x:c>
      <x:c r="E14" s="18" t="str">
        <x:v>Là nhân viên, tôi muốn hủy yêu cầu nghỉ khẩn cấp để thực hiện quy trình nghỉ phép đúng quy định.</x:v>
      </x:c>
      <x:c r="F14" s="18" t="str">
        <x:v>Trung bình</x:v>
      </x:c>
      <x:c r="G14" s="46" t="n">
        <x:v>3</x:v>
      </x:c>
      <x:c r="H14" s="18" t="str">
        <x:v>Sprint 2</x:v>
      </x:c>
      <x:c r="I14" s="18" t="str">
        <x:v>Cần làm</x:v>
      </x:c>
      <x:c r="J14" s="18" t="str">
        <x:v>Kế hoạch hoặc thực hiện sau ngày 23/07/2026</x:v>
      </x:c>
      <x:c r="K14" s="18" t="str">
        <x:v>Chưa giao</x:v>
      </x:c>
      <x:c r="L14" s="18" t="str">
        <x:v>Huỳnh Lê Thành Nhân</x:v>
      </x:c>
      <x:c r="M14" s="18" t="str">
        <x:v>Chức năng “Hủy yêu cầu nghỉ khẩn cấp” xử lý được dữ liệu hợp lệ; trường hợp sai dữ liệu hoặc sai quyền có thông báo rõ ràng; dữ liệu lưu nhất quán và có thể kiểm tra lại bằng mã nguồn, kiểm thử hoặc giao diện.</x:v>
      </x:c>
      <x:c r="N14" s="18" t="str">
        <x:v>Jira</x:v>
      </x:c>
      <x:c r="O14" s="35" t="n">
        <x:v>46254</x:v>
      </x:c>
      <x:c r="P14" s="18" t="str">
        <x:v>Dự kiến hoặc tiếp tục xác minh sau giữa kỳ</x:v>
      </x:c>
    </x:row>
    <x:row r="15">
      <x:c r="A15" s="18" t="str">
        <x:v>US28</x:v>
      </x:c>
      <x:c r="B15" s="18" t="str">
        <x:v>JD-41</x:v>
      </x:c>
      <x:c r="C15" s="18" t="str">
        <x:v>EP09</x:v>
      </x:c>
      <x:c r="D15" s="18" t="str">
        <x:v>Gửi yêu cầu làm thêm giờ</x:v>
      </x:c>
      <x:c r="E15" s="18" t="str">
        <x:v>Là nhân viên, tôi muốn gửi yêu cầu làm thêm giờ để thực hiện quy trình làm thêm giờ đúng quy định.</x:v>
      </x:c>
      <x:c r="F15" s="18" t="str">
        <x:v>Trung bình</x:v>
      </x:c>
      <x:c r="G15" s="46" t="n">
        <x:v>3</x:v>
      </x:c>
      <x:c r="H15" s="18" t="str">
        <x:v>Sprint 2</x:v>
      </x:c>
      <x:c r="I15" s="18" t="str">
        <x:v>Cần làm</x:v>
      </x:c>
      <x:c r="J15" s="18" t="str">
        <x:v>Kế hoạch hoặc thực hiện sau ngày 23/07/2026</x:v>
      </x:c>
      <x:c r="K15" s="18" t="str">
        <x:v>Chưa giao</x:v>
      </x:c>
      <x:c r="L15" s="18" t="str">
        <x:v>Huỳnh Lê Thành Nhân</x:v>
      </x:c>
      <x:c r="M15" s="18" t="str">
        <x:v>Chức năng “Gửi yêu cầu làm thêm giờ” xử lý được dữ liệu hợp lệ; trường hợp sai dữ liệu hoặc sai quyền có thông báo rõ ràng; dữ liệu lưu nhất quán và có thể kiểm tra lại bằng mã nguồn, kiểm thử hoặc giao diện.</x:v>
      </x:c>
      <x:c r="N15" s="18" t="str">
        <x:v>Jira</x:v>
      </x:c>
      <x:c r="O15" s="35" t="n">
        <x:v>46254</x:v>
      </x:c>
      <x:c r="P15" s="18" t="str">
        <x:v>Dự kiến hoặc tiếp tục xác minh sau giữa kỳ</x:v>
      </x:c>
    </x:row>
    <x:row r="16">
      <x:c r="A16" s="18" t="str">
        <x:v>US29</x:v>
      </x:c>
      <x:c r="B16" s="18" t="str">
        <x:v>JD-42</x:v>
      </x:c>
      <x:c r="C16" s="18" t="str">
        <x:v>EP09</x:v>
      </x:c>
      <x:c r="D16" s="18" t="str">
        <x:v>Phê duyệt yêu cầu làm thêm giờ</x:v>
      </x:c>
      <x:c r="E16" s="18" t="str">
        <x:v>Là nhân viên, tôi muốn phê duyệt yêu cầu làm thêm giờ để thực hiện quy trình làm thêm giờ đúng quy định.</x:v>
      </x:c>
      <x:c r="F16" s="18" t="str">
        <x:v>Trung bình</x:v>
      </x:c>
      <x:c r="G16" s="46" t="n">
        <x:v>8</x:v>
      </x:c>
      <x:c r="H16" s="18" t="str">
        <x:v>Sprint 2</x:v>
      </x:c>
      <x:c r="I16" s="18" t="str">
        <x:v>Cần làm</x:v>
      </x:c>
      <x:c r="J16" s="18" t="str">
        <x:v>Kế hoạch hoặc thực hiện sau ngày 23/07/2026</x:v>
      </x:c>
      <x:c r="K16" s="18" t="str">
        <x:v>Chưa giao</x:v>
      </x:c>
      <x:c r="L16" s="18" t="str">
        <x:v>Huỳnh Lê Thành Nhân</x:v>
      </x:c>
      <x:c r="M16" s="18" t="str">
        <x:v>Chức năng “Phê duyệt yêu cầu làm thêm giờ” xử lý được dữ liệu hợp lệ; trường hợp sai dữ liệu hoặc sai quyền có thông báo rõ ràng; dữ liệu lưu nhất quán và có thể kiểm tra lại bằng mã nguồn, kiểm thử hoặc giao diện.</x:v>
      </x:c>
      <x:c r="N16" s="18" t="str">
        <x:v>Jira</x:v>
      </x:c>
      <x:c r="O16" s="35" t="n">
        <x:v>46254</x:v>
      </x:c>
      <x:c r="P16" s="18" t="str">
        <x:v>Dự kiến hoặc tiếp tục xác minh sau giữa kỳ</x:v>
      </x:c>
    </x:row>
    <x:row r="17">
      <x:c r="A17" s="18" t="str">
        <x:v>US30</x:v>
      </x:c>
      <x:c r="B17" s="18" t="str">
        <x:v>JD-43</x:v>
      </x:c>
      <x:c r="C17" s="18" t="str">
        <x:v>EP09</x:v>
      </x:c>
      <x:c r="D17" s="18" t="str">
        <x:v>Kiểm tra quy định làm thêm giờ</x:v>
      </x:c>
      <x:c r="E17" s="18" t="str">
        <x:v>Là nhân viên, tôi muốn kiểm tra quy định làm thêm giờ để thực hiện quy trình làm thêm giờ đúng quy định.</x:v>
      </x:c>
      <x:c r="F17" s="18" t="str">
        <x:v>Trung bình</x:v>
      </x:c>
      <x:c r="G17" s="46" t="n">
        <x:v>3</x:v>
      </x:c>
      <x:c r="H17" s="18" t="str">
        <x:v>Sprint 2</x:v>
      </x:c>
      <x:c r="I17" s="18" t="str">
        <x:v>Cần làm</x:v>
      </x:c>
      <x:c r="J17" s="18" t="str">
        <x:v>Kế hoạch hoặc thực hiện sau ngày 23/07/2026</x:v>
      </x:c>
      <x:c r="K17" s="18" t="str">
        <x:v>Chưa giao</x:v>
      </x:c>
      <x:c r="L17" s="18" t="str">
        <x:v>Huỳnh Lê Thành Nhân</x:v>
      </x:c>
      <x:c r="M17" s="18" t="str">
        <x:v>Chức năng “Kiểm tra quy định làm thêm giờ” xử lý được dữ liệu hợp lệ; trường hợp sai dữ liệu hoặc sai quyền có thông báo rõ ràng; dữ liệu lưu nhất quán và có thể kiểm tra lại bằng mã nguồn, kiểm thử hoặc giao diện.</x:v>
      </x:c>
      <x:c r="N17" s="18" t="str">
        <x:v>Jira</x:v>
      </x:c>
      <x:c r="O17" s="35" t="n">
        <x:v>46254</x:v>
      </x:c>
      <x:c r="P17" s="18" t="str">
        <x:v>Dự kiến hoặc tiếp tục xác minh sau giữa kỳ</x:v>
      </x:c>
    </x:row>
    <x:row r="18">
      <x:c r="A18" s="18" t="str">
        <x:v>US32</x:v>
      </x:c>
      <x:c r="B18" s="18" t="str">
        <x:v>JD-45</x:v>
      </x:c>
      <x:c r="C18" s="18" t="str">
        <x:v>EP10</x:v>
      </x:c>
      <x:c r="D18" s="18" t="str">
        <x:v>Cài đặt kênh nhận thông báo</x:v>
      </x:c>
      <x:c r="E18" s="18" t="str">
        <x:v>Là người dùng hệ thống, tôi muốn cài đặt kênh nhận thông báo để nhận đúng thông tin vào đúng thời điểm.</x:v>
      </x:c>
      <x:c r="F18" s="18" t="str">
        <x:v>Trung bình</x:v>
      </x:c>
      <x:c r="G18" s="46" t="n">
        <x:v>5</x:v>
      </x:c>
      <x:c r="H18" s="18" t="str">
        <x:v>Sprint 2</x:v>
      </x:c>
      <x:c r="I18" s="18" t="str">
        <x:v>Cần làm</x:v>
      </x:c>
      <x:c r="J18" s="18" t="str">
        <x:v>Kế hoạch hoặc thực hiện sau ngày 23/07/2026</x:v>
      </x:c>
      <x:c r="K18" s="18" t="str">
        <x:v>Chưa giao</x:v>
      </x:c>
      <x:c r="L18" s="18" t="str">
        <x:v>Huỳnh Lê Thành Nhân (chính); Nguyễn Đức Mạnh (hỗ trợ kiểm thử)</x:v>
      </x:c>
      <x:c r="M18" s="18" t="str">
        <x:v>Chức năng “Cài đặt kênh nhận thông báo” xử lý được dữ liệu hợp lệ; trường hợp sai dữ liệu hoặc sai quyền có thông báo rõ ràng; dữ liệu lưu nhất quán và có thể kiểm tra lại bằng mã nguồn, kiểm thử hoặc giao diện.</x:v>
      </x:c>
      <x:c r="N18" s="18" t="str">
        <x:v>Jira</x:v>
      </x:c>
      <x:c r="O18" s="35" t="n">
        <x:v>46254</x:v>
      </x:c>
      <x:c r="P18" s="18" t="str">
        <x:v>Dự kiến hoặc tiếp tục xác minh sau giữa kỳ</x:v>
      </x:c>
    </x:row>
    <x:row r="19">
      <x:c r="A19" s="18" t="str">
        <x:v>US33</x:v>
      </x:c>
      <x:c r="B19" s="18" t="str">
        <x:v>JD-46</x:v>
      </x:c>
      <x:c r="C19" s="18" t="str">
        <x:v>EP10</x:v>
      </x:c>
      <x:c r="D19" s="18" t="str">
        <x:v>Nhận email tổng hợp hằng ngày</x:v>
      </x:c>
      <x:c r="E19" s="18" t="str">
        <x:v>Là người dùng hệ thống, tôi muốn nhận email tổng hợp hằng ngày để nhận đúng thông tin vào đúng thời điểm.</x:v>
      </x:c>
      <x:c r="F19" s="18" t="str">
        <x:v>Trung bình</x:v>
      </x:c>
      <x:c r="G19" s="46" t="n">
        <x:v>5</x:v>
      </x:c>
      <x:c r="H19" s="18" t="str">
        <x:v>Sprint 2</x:v>
      </x:c>
      <x:c r="I19" s="18" t="str">
        <x:v>Cần làm</x:v>
      </x:c>
      <x:c r="J19" s="18" t="str">
        <x:v>Kế hoạch hoặc thực hiện sau ngày 23/07/2026</x:v>
      </x:c>
      <x:c r="K19" s="18" t="str">
        <x:v>Chưa giao</x:v>
      </x:c>
      <x:c r="L19" s="18" t="str">
        <x:v>Huỳnh Lê Thành Nhân</x:v>
      </x:c>
      <x:c r="M19" s="18" t="str">
        <x:v>Chức năng “Nhận email tổng hợp hằng ngày” xử lý được dữ liệu hợp lệ; trường hợp sai dữ liệu hoặc sai quyền có thông báo rõ ràng; dữ liệu lưu nhất quán và có thể kiểm tra lại bằng mã nguồn, kiểm thử hoặc giao diện.</x:v>
      </x:c>
      <x:c r="N19" s="18" t="str">
        <x:v>Jira</x:v>
      </x:c>
      <x:c r="O19" s="35" t="n">
        <x:v>46254</x:v>
      </x:c>
      <x:c r="P19" s="18" t="str">
        <x:v>Dự kiến hoặc tiếp tục xác minh sau giữa kỳ</x:v>
      </x:c>
    </x:row>
    <x:row r="20">
      <x:c r="A20" s="18" t="str">
        <x:v>US34</x:v>
      </x:c>
      <x:c r="B20" s="18" t="str">
        <x:v>JD-47</x:v>
      </x:c>
      <x:c r="C20" s="18" t="str">
        <x:v>EP10</x:v>
      </x:c>
      <x:c r="D20" s="18" t="str">
        <x:v>Gửi lại thông báo thất bại</x:v>
      </x:c>
      <x:c r="E20" s="18" t="str">
        <x:v>Là người dùng hệ thống, tôi muốn gửi lại thông báo thất bại để nhận đúng thông tin vào đúng thời điểm.</x:v>
      </x:c>
      <x:c r="F20" s="18" t="str">
        <x:v>Trung bình</x:v>
      </x:c>
      <x:c r="G20" s="46" t="n">
        <x:v>5</x:v>
      </x:c>
      <x:c r="H20" s="18" t="str">
        <x:v>Sprint 2</x:v>
      </x:c>
      <x:c r="I20" s="18" t="str">
        <x:v>Cần làm</x:v>
      </x:c>
      <x:c r="J20" s="18" t="str">
        <x:v>Kế hoạch hoặc thực hiện sau ngày 23/07/2026</x:v>
      </x:c>
      <x:c r="K20" s="18" t="str">
        <x:v>Chưa giao</x:v>
      </x:c>
      <x:c r="L20" s="18" t="str">
        <x:v>Huỳnh Lê Thành Nhân</x:v>
      </x:c>
      <x:c r="M20" s="18" t="str">
        <x:v>Chức năng “Gửi lại thông báo thất bại” xử lý được dữ liệu hợp lệ; trường hợp sai dữ liệu hoặc sai quyền có thông báo rõ ràng; dữ liệu lưu nhất quán và có thể kiểm tra lại bằng mã nguồn, kiểm thử hoặc giao diện.</x:v>
      </x:c>
      <x:c r="N20" s="18" t="str">
        <x:v>Jira</x:v>
      </x:c>
      <x:c r="O20" s="35" t="n">
        <x:v>46254</x:v>
      </x:c>
      <x:c r="P20" s="18" t="str">
        <x:v>Dự kiến hoặc tiếp tục xác minh sau giữa kỳ</x:v>
      </x:c>
    </x:row>
    <x:row r="21">
      <x:c r="A21" s="18" t="str">
        <x:v>US35</x:v>
      </x:c>
      <x:c r="B21" s="18" t="str">
        <x:v>JD-48</x:v>
      </x:c>
      <x:c r="C21" s="18" t="str">
        <x:v>EP11</x:v>
      </x:c>
      <x:c r="D21" s="18" t="str">
        <x:v>Theo dõi bảng điều khiển hiệu suất</x:v>
      </x:c>
      <x:c r="E21" s="18" t="str">
        <x:v>Là người quản lý, tôi muốn theo dõi bảng điều khiển hiệu suất để có dữ liệu hỗ trợ quyết định.</x:v>
      </x:c>
      <x:c r="F21" s="18" t="str">
        <x:v>Trung bình</x:v>
      </x:c>
      <x:c r="G21" s="46" t="n">
        <x:v>3</x:v>
      </x:c>
      <x:c r="H21" s="18" t="str">
        <x:v>Sprint 2</x:v>
      </x:c>
      <x:c r="I21" s="18" t="str">
        <x:v>Cần làm</x:v>
      </x:c>
      <x:c r="J21" s="18" t="str">
        <x:v>Kế hoạch hoặc thực hiện sau ngày 23/07/2026</x:v>
      </x:c>
      <x:c r="K21" s="18" t="str">
        <x:v>Chưa giao</x:v>
      </x:c>
      <x:c r="L21" s="18" t="str">
        <x:v>Huỳnh Lê Thành Nhân</x:v>
      </x:c>
      <x:c r="M21" s="18" t="str">
        <x:v>Chức năng “Theo dõi bảng điều khiển hiệu suất” xử lý được dữ liệu hợp lệ; trường hợp sai dữ liệu hoặc sai quyền có thông báo rõ ràng; dữ liệu lưu nhất quán và có thể kiểm tra lại bằng mã nguồn, kiểm thử hoặc giao diện.</x:v>
      </x:c>
      <x:c r="N21" s="18" t="str">
        <x:v>Jira</x:v>
      </x:c>
      <x:c r="O21" s="35" t="n">
        <x:v>46254</x:v>
      </x:c>
      <x:c r="P21" s="18" t="str">
        <x:v>Dự kiến hoặc tiếp tục xác minh sau giữa kỳ</x:v>
      </x:c>
    </x:row>
    <x:row r="22">
      <x:c r="A22" s="18" t="str">
        <x:v>US36</x:v>
      </x:c>
      <x:c r="B22" s="18" t="str">
        <x:v>JD-49</x:v>
      </x:c>
      <x:c r="C22" s="18" t="str">
        <x:v>EP11</x:v>
      </x:c>
      <x:c r="D22" s="18" t="str">
        <x:v>Theo dõi phân bổ nguồn lực phòng ban</x:v>
      </x:c>
      <x:c r="E22" s="18" t="str">
        <x:v>Là người quản lý, tôi muốn theo dõi phân bổ nguồn lực phòng ban để có dữ liệu hỗ trợ quyết định.</x:v>
      </x:c>
      <x:c r="F22" s="18" t="str">
        <x:v>Trung bình</x:v>
      </x:c>
      <x:c r="G22" s="46" t="n">
        <x:v>8</x:v>
      </x:c>
      <x:c r="H22" s="18" t="str">
        <x:v>Sprint 2</x:v>
      </x:c>
      <x:c r="I22" s="18" t="str">
        <x:v>Cần làm</x:v>
      </x:c>
      <x:c r="J22" s="18" t="str">
        <x:v>Kế hoạch hoặc thực hiện sau ngày 23/07/2026</x:v>
      </x:c>
      <x:c r="K22" s="18" t="str">
        <x:v>Chưa giao</x:v>
      </x:c>
      <x:c r="L22" s="18" t="str">
        <x:v>Huỳnh Lê Thành Nhân</x:v>
      </x:c>
      <x:c r="M22" s="18" t="str">
        <x:v>Chức năng “Theo dõi phân bổ nguồn lực phòng ban” xử lý được dữ liệu hợp lệ; trường hợp sai dữ liệu hoặc sai quyền có thông báo rõ ràng; dữ liệu lưu nhất quán và có thể kiểm tra lại bằng mã nguồn, kiểm thử hoặc giao diện.</x:v>
      </x:c>
      <x:c r="N22" s="18" t="str">
        <x:v>Jira</x:v>
      </x:c>
      <x:c r="O22" s="35" t="n">
        <x:v>46254</x:v>
      </x:c>
      <x:c r="P22" s="18" t="str">
        <x:v>Dự kiến hoặc tiếp tục xác minh sau giữa kỳ</x:v>
      </x:c>
    </x:row>
    <x:row r="23">
      <x:c r="A23" s="18" t="str">
        <x:v>US37</x:v>
      </x:c>
      <x:c r="B23" s="18" t="str">
        <x:v>JD-50</x:v>
      </x:c>
      <x:c r="C23" s="18" t="str">
        <x:v>EP11</x:v>
      </x:c>
      <x:c r="D23" s="18" t="str">
        <x:v>Tạo báo cáo dự án tùy chỉnh</x:v>
      </x:c>
      <x:c r="E23" s="18" t="str">
        <x:v>Là người quản lý, tôi muốn tạo báo cáo dự án tùy chỉnh để có dữ liệu hỗ trợ quyết định.</x:v>
      </x:c>
      <x:c r="F23" s="18" t="str">
        <x:v>Trung bình</x:v>
      </x:c>
      <x:c r="G23" s="46" t="n">
        <x:v>3</x:v>
      </x:c>
      <x:c r="H23" s="18" t="str">
        <x:v>Sprint 2</x:v>
      </x:c>
      <x:c r="I23" s="18" t="str">
        <x:v>Cần làm</x:v>
      </x:c>
      <x:c r="J23" s="18" t="str">
        <x:v>Kế hoạch hoặc thực hiện sau ngày 23/07/2026</x:v>
      </x:c>
      <x:c r="K23" s="18" t="str">
        <x:v>Chưa giao</x:v>
      </x:c>
      <x:c r="L23" s="18" t="str">
        <x:v>Huỳnh Lê Thành Nhân</x:v>
      </x:c>
      <x:c r="M23" s="18" t="str">
        <x:v>Chức năng “Tạo báo cáo dự án tùy chỉnh” xử lý được dữ liệu hợp lệ; trường hợp sai dữ liệu hoặc sai quyền có thông báo rõ ràng; dữ liệu lưu nhất quán và có thể kiểm tra lại bằng mã nguồn, kiểm thử hoặc giao diện.</x:v>
      </x:c>
      <x:c r="N23" s="18" t="str">
        <x:v>Jira</x:v>
      </x:c>
      <x:c r="O23" s="35" t="n">
        <x:v>46254</x:v>
      </x:c>
      <x:c r="P23" s="18" t="str">
        <x:v>Dự kiến hoặc tiếp tục xác minh sau giữa kỳ</x:v>
      </x:c>
    </x:row>
    <x:row r="24">
      <x:c r="A24" s="18" t="str">
        <x:v>US38</x:v>
      </x:c>
      <x:c r="B24" s="18" t="str">
        <x:v>JD-51</x:v>
      </x:c>
      <x:c r="C24" s="18" t="str">
        <x:v>EP11</x:v>
      </x:c>
      <x:c r="D24" s="18" t="str">
        <x:v>Dự báo tiến độ hoàn thành dự án</x:v>
      </x:c>
      <x:c r="E24" s="18" t="str">
        <x:v>Là người quản lý, tôi muốn dự báo tiến độ hoàn thành dự án để có dữ liệu hỗ trợ quyết định.</x:v>
      </x:c>
      <x:c r="F24" s="18" t="str">
        <x:v>Trung bình</x:v>
      </x:c>
      <x:c r="G24" s="46" t="n">
        <x:v>8</x:v>
      </x:c>
      <x:c r="H24" s="18" t="str">
        <x:v>Sprint 2</x:v>
      </x:c>
      <x:c r="I24" s="18" t="str">
        <x:v>Cần làm</x:v>
      </x:c>
      <x:c r="J24" s="18" t="str">
        <x:v>Kế hoạch hoặc thực hiện sau ngày 23/07/2026</x:v>
      </x:c>
      <x:c r="K24" s="18" t="str">
        <x:v>Chưa giao</x:v>
      </x:c>
      <x:c r="L24" s="18" t="str">
        <x:v>Huỳnh Lê Thành Nhân</x:v>
      </x:c>
      <x:c r="M24" s="18" t="str">
        <x:v>Chức năng “Dự báo tiến độ hoàn thành dự án” xử lý được dữ liệu hợp lệ; trường hợp sai dữ liệu hoặc sai quyền có thông báo rõ ràng; dữ liệu lưu nhất quán và có thể kiểm tra lại bằng mã nguồn, kiểm thử hoặc giao diện.</x:v>
      </x:c>
      <x:c r="N24" s="18" t="str">
        <x:v>Jira</x:v>
      </x:c>
      <x:c r="O24" s="35" t="n">
        <x:v>46254</x:v>
      </x:c>
      <x:c r="P24" s="18" t="str">
        <x:v>Dự kiến hoặc tiếp tục xác minh sau giữa kỳ</x:v>
      </x:c>
    </x:row>
  </x:sheetData>
  <x:mergeCells>
    <x:mergeCell ref="A1:P2"/>
  </x:mergeCells>
  <x:conditionalFormatting sqref="I5:J24">
    <x:cfRule type="containsText" dxfId="45" priority="1" operator="containsText" text="Hoàn thành"/>
    <x:cfRule type="containsText" dxfId="46" priority="2" operator="containsText" text="Đã kiểm thử"/>
    <x:cfRule type="containsText" dxfId="47" priority="3" operator="containsText" text="Đã hỗ trợ"/>
    <x:cfRule type="containsText" dxfId="48" priority="4" operator="containsText" text="Sơ khai"/>
    <x:cfRule type="containsText" dxfId="49" priority="5" operator="containsText" text="Đang"/>
    <x:cfRule type="containsText" dxfId="50" priority="6" operator="containsText" text="Chưa xác minh"/>
    <x:cfRule type="containsText" dxfId="51" priority="7" operator="containsText" text="Cần làm"/>
    <x:cfRule type="containsText" dxfId="52" priority="8" operator="containsText" text="Dự kiến"/>
    <x:cfRule type="containsText" dxfId="53" priority="9" operator="containsText" text="Chưa có sản phẩm"/>
  </x:conditionalFormatting>
  <x:pageMargins left="0.7" right="0.7" top="0.75" bottom="0.75" header="0.3" footer="0.3"/>
  <x:tableParts count="1">
    <x:tablePart xmlns:r="http://schemas.openxmlformats.org/officeDocument/2006/relationships" r:id="Rbd1414acb247479c"/>
  </x:tableParts>
</x:worksheet>
</file>