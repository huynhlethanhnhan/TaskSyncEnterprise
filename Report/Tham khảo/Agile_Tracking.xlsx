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PriorityRef" sheetId="2" r:id="rId6"/>
    <sheet state="visible" name="StatusRef" sheetId="3" r:id="rId7"/>
    <sheet state="visible" name="Sprint 1" sheetId="4" r:id="rId8"/>
    <sheet state="visible" name="Sprint 2" sheetId="5" r:id="rId9"/>
    <sheet state="visible" name="Sprint 3" sheetId="6" r:id="rId10"/>
    <sheet state="visible" name="Sprint 4" sheetId="7" r:id="rId11"/>
    <sheet state="visible" name="Daily Scrum" sheetId="8" r:id="rId12"/>
    <sheet state="visible" name="Burndown" sheetId="9" r:id="rId13"/>
    <sheet state="visible" name="Velocity" sheetId="10" r:id="rId14"/>
    <sheet state="visible" name="Risk Register" sheetId="11" r:id="rId15"/>
    <sheet state="visible" name="Sprint Review" sheetId="12" r:id="rId16"/>
    <sheet state="visible" name="Sprint Retrospective" sheetId="13" r:id="rId17"/>
  </sheets>
  <definedNames/>
  <calcPr/>
</workbook>
</file>

<file path=xl/sharedStrings.xml><?xml version="1.0" encoding="utf-8"?>
<sst xmlns="http://schemas.openxmlformats.org/spreadsheetml/2006/main" count="434" uniqueCount="233">
  <si>
    <t>Tên thành viên</t>
  </si>
  <si>
    <t>Status</t>
  </si>
  <si>
    <t>Priority</t>
  </si>
  <si>
    <t>Vai trò dự án</t>
  </si>
  <si>
    <t>High</t>
  </si>
  <si>
    <t>To Do</t>
  </si>
  <si>
    <t>Sprint 1 Hours</t>
  </si>
  <si>
    <t>Sprint 2 Hours</t>
  </si>
  <si>
    <t>Sprint 3 Hours</t>
  </si>
  <si>
    <t>Sprint 4 Hours</t>
  </si>
  <si>
    <t>Huỳnh Lê Thành Nhân</t>
  </si>
  <si>
    <t>In Progress</t>
  </si>
  <si>
    <t>Product Owner</t>
  </si>
  <si>
    <t>Done</t>
  </si>
  <si>
    <t>Medium</t>
  </si>
  <si>
    <t>Low</t>
  </si>
  <si>
    <t>US ID</t>
  </si>
  <si>
    <t>Task Name</t>
  </si>
  <si>
    <t>As A</t>
  </si>
  <si>
    <t>I want</t>
  </si>
  <si>
    <t>Nguyễn Đức Mạnh</t>
  </si>
  <si>
    <t>So I</t>
  </si>
  <si>
    <t>Scrum Master &amp; Developer</t>
  </si>
  <si>
    <t>Assignee</t>
  </si>
  <si>
    <t>Nguyễn Anh Tuấn</t>
  </si>
  <si>
    <t>Researcher</t>
  </si>
  <si>
    <t>Estimate</t>
  </si>
  <si>
    <t>Actual</t>
  </si>
  <si>
    <t>Nguyễn Lê Huy Hoàng</t>
  </si>
  <si>
    <t>Developer</t>
  </si>
  <si>
    <t>Comment</t>
  </si>
  <si>
    <t>US01</t>
  </si>
  <si>
    <t>Phạm Anh Tuấn</t>
  </si>
  <si>
    <t>Secure User Login</t>
  </si>
  <si>
    <t xml:space="preserve">Employee </t>
  </si>
  <si>
    <t>Tổng năng suất:</t>
  </si>
  <si>
    <t xml:space="preserve">Log into the system using my registered email and password securely </t>
  </si>
  <si>
    <t>Access my workspace and perform my daily tasks without security concerns</t>
  </si>
  <si>
    <t>Hoàn thành đúng hạn</t>
  </si>
  <si>
    <t>Automatic Session Renewal</t>
  </si>
  <si>
    <t>Employee</t>
  </si>
  <si>
    <t>Active login session to renew automatically in the background</t>
  </si>
  <si>
    <t>Working continuously without experiencing sudden logouts during active usage</t>
  </si>
  <si>
    <t>US02</t>
  </si>
  <si>
    <t>Role Definition Layout</t>
  </si>
  <si>
    <t>Administrator</t>
  </si>
  <si>
    <t>View and configure details of different user roles and their associated permissions on a dedicated screen</t>
  </si>
  <si>
    <t>Easily understand and customize what actions each group of users can perform in the system</t>
  </si>
  <si>
    <t>Role-Based Access Enforcement</t>
  </si>
  <si>
    <t>The system to automatically restrict page access and actions based on the user's assigned role</t>
  </si>
  <si>
    <t>Unauthorized users cannot access sensitive business data or execute management actions</t>
  </si>
  <si>
    <t>US03</t>
  </si>
  <si>
    <t>Project Creation Wizard</t>
  </si>
  <si>
    <t>Project Manager</t>
  </si>
  <si>
    <t>Follow a step-by-step wizard to initialize a new project shell with basic details</t>
  </si>
  <si>
    <t>Easily set up new projects without missing any crucial initial configurationE</t>
  </si>
  <si>
    <t>US15</t>
  </si>
  <si>
    <t>Task Creation Editor</t>
  </si>
  <si>
    <t>Project Team Assignment Table</t>
  </si>
  <si>
    <t>US11</t>
  </si>
  <si>
    <t>Employee Profile Creation</t>
  </si>
  <si>
    <t>Allocate team members to a project using an interactive team assignment table</t>
  </si>
  <si>
    <t>Create new tasks within a project by defining their title, description, priority, and initial assignee</t>
  </si>
  <si>
    <t>Populate the backlog with actionable items for the team</t>
  </si>
  <si>
    <t xml:space="preserve"> HR Manager</t>
  </si>
  <si>
    <t>Quickly form project teams and assign roles with clear capacity management</t>
  </si>
  <si>
    <t>Create new employee profiles by entering their personal and occupational details on a structured console</t>
  </si>
  <si>
    <t>Register new hires into the company directory</t>
  </si>
  <si>
    <t>US04</t>
  </si>
  <si>
    <t>Task Kanban Board</t>
  </si>
  <si>
    <t>Team Member</t>
  </si>
  <si>
    <t>View and manage my tasks using an interactive Kanban board grid</t>
  </si>
  <si>
    <t>User Mention Notifications</t>
  </si>
  <si>
    <t>Easily track task progress, change statuses via drag-and-drop, and collaborate with my team visually</t>
  </si>
  <si>
    <t>The system to automatically notify another user when I mention them using "@username" in a comment or document</t>
  </si>
  <si>
    <t>Quickly draw their attention to specific topics or feedback</t>
  </si>
  <si>
    <t>Bulk Employee Data Import</t>
  </si>
  <si>
    <t>Upload a spreadsheet to import multiple employee records at once</t>
  </si>
  <si>
    <t>US16</t>
  </si>
  <si>
    <t>Onboard large groups of employees without manually entering each profile</t>
  </si>
  <si>
    <t>Unused Files Cleanup</t>
  </si>
  <si>
    <t>The system to automatically clean up orphaned and unused document attachments periodically</t>
  </si>
  <si>
    <t>The system storage space is optimized and old, redundant draft files are deleted</t>
  </si>
  <si>
    <t>Bulk Document Downloader</t>
  </si>
  <si>
    <t>Select multiple files within the project and download them simultaneously in a single compressed archive</t>
  </si>
  <si>
    <t>US12</t>
  </si>
  <si>
    <t>Direct Manager Assignment</t>
  </si>
  <si>
    <t>Leave Request Submission</t>
  </si>
  <si>
    <t>Submit a vacation request indicating the leave type and date range through a simple submission form</t>
  </si>
  <si>
    <t>View and assign a direct manager to an employee within their profile</t>
  </si>
  <si>
    <t>Request time off and have my absence formally reviewed by my manager</t>
  </si>
  <si>
    <t>The organization's reporting hierarchy is correctly established for approvals and evaluations.</t>
  </si>
  <si>
    <t>Save time when downloading project assets instead of downloading each file individual</t>
  </si>
  <si>
    <t>US17</t>
  </si>
  <si>
    <t>Leave Approvals Panel</t>
  </si>
  <si>
    <t>Manager</t>
  </si>
  <si>
    <t>View a consolidated list of leave requests from my team members and approve or reject them on a dedicated panel</t>
  </si>
  <si>
    <t>Department Structure Setup</t>
  </si>
  <si>
    <t>Manage team attendance and maintain sufficient operational capacity</t>
  </si>
  <si>
    <t>Tổng cộng:</t>
  </si>
  <si>
    <t>Define and structure the baseline organization department</t>
  </si>
  <si>
    <t>Organize employees into functional business units</t>
  </si>
  <si>
    <t>Annual Leave Balance Accrual</t>
  </si>
  <si>
    <t>HR Manager</t>
  </si>
  <si>
    <t>The system to automatically calculate and accrue annual leave balances for each employee based on company policy</t>
  </si>
  <si>
    <t>Employees always have an accurate, up-to-date count of their available paid time off</t>
  </si>
  <si>
    <t>US13</t>
  </si>
  <si>
    <t>Department Head Assignment</t>
  </si>
  <si>
    <t>Tiến độ:</t>
  </si>
  <si>
    <t>Dynamically assign or change the designated Department Head for any department</t>
  </si>
  <si>
    <t>Leadership roles are kept up-to-date and approval rights are correctly routed</t>
  </si>
  <si>
    <t>US18</t>
  </si>
  <si>
    <t>Emergency Leave Cancellation</t>
  </si>
  <si>
    <t>US25</t>
  </si>
  <si>
    <t>Cancel an approved leave request and restore the employee's leave balance in emergency situations</t>
  </si>
  <si>
    <t>Project Milestone Tracking</t>
  </si>
  <si>
    <t>Employee records remain correct when plans change due to operational emergencies</t>
  </si>
  <si>
    <t>Define and track project milestones and overall execution state</t>
  </si>
  <si>
    <t>Monitor progress against key deadlines and ensure the project remains on schedule</t>
  </si>
  <si>
    <t>Department Transfer Approval Flow</t>
  </si>
  <si>
    <t>Overtime Request Submission</t>
  </si>
  <si>
    <t>Initiate and manage the approval workflow when transferring an employee from one department to another</t>
  </si>
  <si>
    <t>Both sending and receiving department managers can review and approve the transfer</t>
  </si>
  <si>
    <t>Extra work hours are recorded and sent to my manager for payment or time-off compensation</t>
  </si>
  <si>
    <t>Task Attachment Security</t>
  </si>
  <si>
    <t>The system to enforce security checks on all uploaded file attachments</t>
  </si>
  <si>
    <t>Infected, malicious, or unauthorized file types are blocked from entering the system storage</t>
  </si>
  <si>
    <t>US14</t>
  </si>
  <si>
    <t>US19</t>
  </si>
  <si>
    <t>Task Dependency Diagram</t>
  </si>
  <si>
    <t>Overtime Approvals Panel</t>
  </si>
  <si>
    <t>View and map dependencies between different tasks in a visual graph</t>
  </si>
  <si>
    <t>Review and approve/reject my team members' submitted overtime hours on a dedicated panel</t>
  </si>
  <si>
    <t>Identify bottlenecks and understand the critical path of the project</t>
  </si>
  <si>
    <t>Control project costs and officially authorize overtime payments</t>
  </si>
  <si>
    <t>US26</t>
  </si>
  <si>
    <t>Notification Channel Settings</t>
  </si>
  <si>
    <t>Customize my notification routing preferences for different events (such as web, mobile, or email)</t>
  </si>
  <si>
    <t>Overtime Policy Validation</t>
  </si>
  <si>
    <t>Advanced Backlog Filtering</t>
  </si>
  <si>
    <t>Receive critical alerts on my preferred channels and avoid notification fatigue</t>
  </si>
  <si>
    <t>The system to automatically validate overtime requests against labor policies (such as daily or weekly limits)</t>
  </si>
  <si>
    <t>The company avoids labor law violations and excessive overtime expenses</t>
  </si>
  <si>
    <t>Filter the project backlog using multiple criteria such as assignee, priority, epic, and status</t>
  </si>
  <si>
    <t>Find and prioritize specific tasks during sprint planning</t>
  </si>
  <si>
    <t>Daily Summary Email Digest</t>
  </si>
  <si>
    <t>VIew an operational performance dashboard displaying active tasks, completion rates, and delay trends</t>
  </si>
  <si>
    <t>Evaluate project health and make informed adjustments</t>
  </si>
  <si>
    <t>US42</t>
  </si>
  <si>
    <t>Task Decomposition</t>
  </si>
  <si>
    <t>Break down a main task into smaller, manageable sub-tasks</t>
  </si>
  <si>
    <t>Plan, track, and complete the work in incremental steps</t>
  </si>
  <si>
    <t>US27</t>
  </si>
  <si>
    <t>US20</t>
  </si>
  <si>
    <t>Failed Notification Retry</t>
  </si>
  <si>
    <t>Real-Time In-App Alerts</t>
  </si>
  <si>
    <t>View a resource utilization map displaying employee workloads across various projects</t>
  </si>
  <si>
    <t>Receive real-time alerts inside the application for task updates, mentions, or approval statuses</t>
  </si>
  <si>
    <t>Balance workloads and prevent employee burnout or resource underutilization</t>
  </si>
  <si>
    <t>Stay updated on critical changes instantly without checking my email</t>
  </si>
  <si>
    <t>Collaborative Comments Feed</t>
  </si>
  <si>
    <t>Write and read rich-text comments within a task's activity feed in real-time</t>
  </si>
  <si>
    <t>Collaborate with my team members on specific tasks directly inside the work item</t>
  </si>
  <si>
    <t>Operational Performance Dashboard</t>
  </si>
  <si>
    <t>Configure and generate a custom project report by choosing specific fields, metrics, and date ranges</t>
  </si>
  <si>
    <t>Present tailored progress reports to executives and stakeholders</t>
  </si>
  <si>
    <t>US28</t>
  </si>
  <si>
    <t>Department Resource Allocation Map</t>
  </si>
  <si>
    <t>Department Manager</t>
  </si>
  <si>
    <t>View an automated Burnup chart displaying accumulated scope versus completed work over time</t>
  </si>
  <si>
    <t>Easily visualize and predict project completion timeline based on team velocity</t>
  </si>
  <si>
    <t>Custom Project Report Generator</t>
  </si>
  <si>
    <t>US29</t>
  </si>
  <si>
    <t>Project Burnup Predictor</t>
  </si>
  <si>
    <t>Structural Change Auditing</t>
  </si>
  <si>
    <t>The system to record all structural changes (such as modifications to departments, roles, or system settings) in an immutable log</t>
  </si>
  <si>
    <t>Have a transparent, unalterable trail of configuration changes for compliance and troubleshooting</t>
  </si>
  <si>
    <t>US30</t>
  </si>
  <si>
    <t>Security Audit Log Explorer</t>
  </si>
  <si>
    <t>Search, filter, and inspect the security audit logs through an interactive explorer interface</t>
  </si>
  <si>
    <t>Quickly investigate potential security breaches or operational errors</t>
  </si>
  <si>
    <t>Ngày</t>
  </si>
  <si>
    <t>Thành viên</t>
  </si>
  <si>
    <t>Hôm qua làm gì</t>
  </si>
  <si>
    <t>Hôm nay làm gì</t>
  </si>
  <si>
    <t>Trở ngại (Blocker)</t>
  </si>
  <si>
    <t>Người hỗ trợ</t>
  </si>
  <si>
    <t>Risk ID</t>
  </si>
  <si>
    <t>Mô tả rủi ro</t>
  </si>
  <si>
    <t>Xác suất</t>
  </si>
  <si>
    <t>Ảnh hưởng</t>
  </si>
  <si>
    <t>Biện pháp giảm thiểu</t>
  </si>
  <si>
    <t>Người phụ trách</t>
  </si>
  <si>
    <t>Trạng thái</t>
  </si>
  <si>
    <t>R01</t>
  </si>
  <si>
    <t>Chậm tiến độ thiết kế Kanban kéo thả do sự kiện dnd</t>
  </si>
  <si>
    <t>Tái sử dụng thư viện `@hello-pangea/dnd` đã kiểm thử</t>
  </si>
  <si>
    <t>Open</t>
  </si>
  <si>
    <t>Sprint 1 Ideal</t>
  </si>
  <si>
    <t>Sprint 1 Actual</t>
  </si>
  <si>
    <t>Sprint</t>
  </si>
  <si>
    <t>Remaining SP</t>
  </si>
  <si>
    <t>Cam kết SP</t>
  </si>
  <si>
    <t>Ngày 0</t>
  </si>
  <si>
    <t>Hoàn thành thực tế</t>
  </si>
  <si>
    <t>Sprint 1</t>
  </si>
  <si>
    <t>Ngày 1</t>
  </si>
  <si>
    <t>Sprint 2</t>
  </si>
  <si>
    <t>Sprint 3</t>
  </si>
  <si>
    <t>Sprint 4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</si>
  <si>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</si>
  <si>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</si>
  <si>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</si>
  <si>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</si>
  <si>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</si>
  <si>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</si>
  <si>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</si>
  <si>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</si>
  <si>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</si>
  <si>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Mã US</t>
  </si>
  <si>
    <t>Phản hồi của PO</t>
  </si>
  <si>
    <t>Ý kiến Stakeholders</t>
  </si>
  <si>
    <t>Completed</t>
  </si>
  <si>
    <t>Hoàn thành đúng cam kết và giao diện đẹp.</t>
  </si>
  <si>
    <t>Chấp nhận nghiệm thu.</t>
  </si>
  <si>
    <t>Went Well (Glad)</t>
  </si>
  <si>
    <t>Need Improvement (Sad)</t>
  </si>
  <si>
    <t>Hành động cải tiến</t>
  </si>
  <si>
    <t>Hạn chót</t>
  </si>
  <si>
    <t>Phối hợp frontend/backend rất tốt qua swagger.</t>
  </si>
  <si>
    <t>Mất thời gian sửa lỗi kết nối database local.</t>
  </si>
  <si>
    <t>Viết tài liệu cấu hình cổng port SQL Server local.</t>
  </si>
  <si>
    <t>27/07/2026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</si>
</sst>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8">
    <font>
      <sz val="11.0"/>
      <color theme="1"/>
      <name val="Calibri"/>
      <scheme val="minor"/>
    </font>
    <font>
      <b/>
      <sz val="11.0"/>
      <color rgb="FFFFFFFF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/>
    <font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left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2" fontId="5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right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7" numFmtId="164" xfId="0" applyAlignment="1" applyBorder="1" applyFont="1" applyNumberFormat="1">
      <alignment horizontal="center"/>
    </xf>
    <xf borderId="0" fillId="0" fontId="6" numFmtId="0" xfId="0" applyFont="1"/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Biểu đồ Burn-down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Sprint 1 Ideal</c:v>
          </c:tx>
          <c:spPr>
            <a:ln cmpd="sng" w="28575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Burndown!$A$2:$A$12</c:f>
            </c:strRef>
          </c:cat>
          <c:val>
            <c:numRef>
              <c:f>Burndown!$B$2:$B$12</c:f>
              <c:numCache/>
            </c:numRef>
          </c:val>
          <c:smooth val="0"/>
        </c:ser>
        <c:ser>
          <c:idx val="1"/>
          <c:order val="1"/>
          <c:tx>
            <c:v>Sprint 1 Actual</c:v>
          </c:tx>
          <c:spPr>
            <a:ln cmpd="sng" w="2857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Burndown!$A$2:$A$12</c:f>
            </c:strRef>
          </c:cat>
          <c:val>
            <c:numRef>
              <c:f>Burndown!$C$2:$C$12</c:f>
              <c:numCache/>
            </c:numRef>
          </c:val>
          <c:smooth val="0"/>
        </c:ser>
        <c:axId val="1367172152"/>
        <c:axId val="289544331"/>
      </c:lineChart>
      <c:catAx>
        <c:axId val="1367172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89544331"/>
      </c:catAx>
      <c:valAx>
        <c:axId val="289544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Giờ công việc còn lại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3671721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Thống kê Vận tốc nhóm (Team Velocity)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Cam kết SP</c:v>
          </c:tx>
          <c:spPr>
            <a:solidFill>
              <a:srgbClr val="003366"/>
            </a:solidFill>
            <a:ln cmpd="sng">
              <a:noFill/>
            </a:ln>
          </c:spPr>
          <c:cat>
            <c:strRef>
              <c:f>Velocity!$A$2:$A$5</c:f>
            </c:strRef>
          </c:cat>
          <c:val>
            <c:numRef>
              <c:f>Velocity!$B$2:$B$5</c:f>
              <c:numCache/>
            </c:numRef>
          </c:val>
        </c:ser>
        <c:ser>
          <c:idx val="1"/>
          <c:order val="1"/>
          <c:tx>
            <c:v>Hoàn thành thực tế</c:v>
          </c:tx>
          <c:spPr>
            <a:solidFill>
              <a:srgbClr val="C6EFCE"/>
            </a:solidFill>
            <a:ln cmpd="sng">
              <a:noFill/>
            </a:ln>
          </c:spPr>
          <c:cat>
            <c:strRef>
              <c:f>Velocity!$A$2:$A$5</c:f>
            </c:strRef>
          </c:cat>
          <c:val>
            <c:numRef>
              <c:f>Velocity!$C$2:$C$5</c:f>
              <c:numCache/>
            </c:numRef>
          </c:val>
        </c:ser>
        <c:axId val="1493683376"/>
        <c:axId val="760351578"/>
      </c:barChart>
      <c:catAx>
        <c:axId val="149368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60351578"/>
      </c:catAx>
      <c:valAx>
        <c:axId val="760351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9368337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450532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50532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71"/>
    <col customWidth="1" min="3" max="6" width="15.71"/>
    <col customWidth="1" min="7" max="26" width="9.0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2" t="s">
        <v>10</v>
      </c>
      <c r="B2" s="2" t="s">
        <v>12</v>
      </c>
      <c r="C2" s="6">
        <v>48.0</v>
      </c>
      <c r="D2" s="7"/>
      <c r="E2" s="7"/>
      <c r="F2" s="7"/>
    </row>
    <row r="3">
      <c r="A3" s="2" t="s">
        <v>20</v>
      </c>
      <c r="B3" s="2" t="s">
        <v>22</v>
      </c>
      <c r="C3" s="6">
        <v>24.0</v>
      </c>
      <c r="D3" s="7"/>
      <c r="E3" s="7"/>
      <c r="F3" s="7"/>
    </row>
    <row r="4">
      <c r="A4" s="2" t="s">
        <v>24</v>
      </c>
      <c r="B4" s="9" t="s">
        <v>25</v>
      </c>
      <c r="C4" s="6">
        <v>12.0</v>
      </c>
      <c r="D4" s="7"/>
      <c r="E4" s="7"/>
      <c r="F4" s="7"/>
    </row>
    <row r="5">
      <c r="A5" s="2" t="s">
        <v>28</v>
      </c>
      <c r="B5" s="2" t="s">
        <v>29</v>
      </c>
      <c r="C5" s="6">
        <v>20.0</v>
      </c>
      <c r="D5" s="7"/>
      <c r="E5" s="7"/>
      <c r="F5" s="7"/>
    </row>
    <row r="6">
      <c r="A6" s="2" t="s">
        <v>32</v>
      </c>
      <c r="B6" s="2" t="s">
        <v>29</v>
      </c>
      <c r="C6" s="6">
        <v>20.0</v>
      </c>
      <c r="D6" s="7"/>
      <c r="E6" s="7"/>
      <c r="F6" s="7"/>
    </row>
    <row r="7">
      <c r="B7" s="11" t="s">
        <v>35</v>
      </c>
      <c r="C7" s="12">
        <f t="shared" ref="C7:F7" si="1">SUM(C2:C6)</f>
        <v>124</v>
      </c>
      <c r="D7" s="12">
        <f t="shared" si="1"/>
        <v>0</v>
      </c>
      <c r="E7" s="12">
        <f t="shared" si="1"/>
        <v>0</v>
      </c>
      <c r="F7" s="12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2</v>
      </c>
    </row>
    <row r="2">
      <c r="A2" s="2" t="s">
        <v>4</v>
      </c>
    </row>
    <row r="3">
      <c r="A3" s="2" t="s">
        <v>14</v>
      </c>
    </row>
    <row r="4">
      <c r="A4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6" width="9.0"/>
  </cols>
  <sheetData>
    <row r="1">
      <c r="A1" s="1" t="s">
        <v>1</v>
      </c>
    </row>
    <row r="2">
      <c r="A2" s="2" t="s">
        <v>5</v>
      </c>
    </row>
    <row r="3">
      <c r="A3" s="2" t="s">
        <v>11</v>
      </c>
    </row>
    <row r="4">
      <c r="A4" s="2" t="s">
        <v>13</v>
      </c>
    </row>
    <row r="12">
      <c r="B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71"/>
    <col customWidth="1" min="2" max="2" width="31.86"/>
    <col customWidth="1" min="3" max="3" width="19.29"/>
    <col customWidth="1" min="4" max="4" width="90.43"/>
    <col customWidth="1" min="5" max="5" width="65.86"/>
    <col customWidth="1" min="6" max="6" width="19.86"/>
    <col customWidth="1" min="7" max="7" width="12.71"/>
    <col customWidth="1" min="8" max="8" width="30.71"/>
    <col customWidth="1" min="9" max="9" width="11.14"/>
    <col customWidth="1" min="10" max="10" width="8.57"/>
    <col customWidth="1" min="11" max="11" width="19.14"/>
    <col customWidth="1" min="12" max="25" width="9.0"/>
  </cols>
  <sheetData>
    <row r="1" ht="24.0" customHeight="1">
      <c r="A1" s="3"/>
      <c r="B1" s="4"/>
      <c r="C1" s="4"/>
      <c r="D1" s="4"/>
      <c r="E1" s="4"/>
      <c r="F1" s="4"/>
      <c r="G1" s="4"/>
      <c r="H1" s="5"/>
    </row>
    <row r="2">
      <c r="A2" s="1" t="s">
        <v>16</v>
      </c>
      <c r="B2" s="1" t="s">
        <v>17</v>
      </c>
      <c r="C2" s="8" t="s">
        <v>18</v>
      </c>
      <c r="D2" s="8" t="s">
        <v>19</v>
      </c>
      <c r="E2" s="8" t="s">
        <v>21</v>
      </c>
      <c r="F2" s="1" t="s">
        <v>23</v>
      </c>
      <c r="G2" s="1" t="s">
        <v>26</v>
      </c>
      <c r="H2" s="1" t="s">
        <v>27</v>
      </c>
      <c r="I2" s="1" t="s">
        <v>2</v>
      </c>
      <c r="J2" s="1" t="s">
        <v>1</v>
      </c>
      <c r="K2" s="1" t="s">
        <v>30</v>
      </c>
    </row>
    <row r="3">
      <c r="A3" s="7" t="s">
        <v>31</v>
      </c>
      <c r="B3" s="2" t="s">
        <v>33</v>
      </c>
      <c r="C3" s="10" t="s">
        <v>34</v>
      </c>
      <c r="D3" s="10" t="s">
        <v>36</v>
      </c>
      <c r="E3" s="10" t="s">
        <v>37</v>
      </c>
      <c r="F3" s="2" t="s">
        <v>10</v>
      </c>
      <c r="G3" s="7">
        <v>3.0</v>
      </c>
      <c r="H3" s="7">
        <v>3.0</v>
      </c>
      <c r="I3" s="7" t="s">
        <v>4</v>
      </c>
      <c r="J3" s="7" t="s">
        <v>13</v>
      </c>
      <c r="K3" s="2" t="s">
        <v>38</v>
      </c>
    </row>
    <row r="4">
      <c r="A4" s="7" t="s">
        <v>31</v>
      </c>
      <c r="B4" s="2" t="s">
        <v>39</v>
      </c>
      <c r="C4" s="10" t="s">
        <v>40</v>
      </c>
      <c r="D4" s="10" t="s">
        <v>41</v>
      </c>
      <c r="E4" s="10" t="s">
        <v>42</v>
      </c>
      <c r="F4" s="2" t="s">
        <v>20</v>
      </c>
      <c r="G4" s="7">
        <v>2.0</v>
      </c>
      <c r="H4" s="7">
        <v>5.0</v>
      </c>
      <c r="I4" s="7" t="s">
        <v>15</v>
      </c>
      <c r="J4" s="7" t="s">
        <v>13</v>
      </c>
      <c r="K4" s="2" t="s">
        <v>38</v>
      </c>
    </row>
    <row r="5">
      <c r="A5" s="7" t="s">
        <v>43</v>
      </c>
      <c r="B5" s="2" t="s">
        <v>44</v>
      </c>
      <c r="C5" s="10" t="s">
        <v>45</v>
      </c>
      <c r="D5" s="10" t="s">
        <v>46</v>
      </c>
      <c r="E5" s="10" t="s">
        <v>47</v>
      </c>
      <c r="F5" s="2" t="s">
        <v>28</v>
      </c>
      <c r="G5" s="7">
        <v>3.0</v>
      </c>
      <c r="H5" s="7">
        <v>5.0</v>
      </c>
      <c r="I5" s="7" t="s">
        <v>14</v>
      </c>
      <c r="J5" s="7" t="s">
        <v>13</v>
      </c>
      <c r="K5" s="2" t="s">
        <v>38</v>
      </c>
    </row>
    <row r="6">
      <c r="A6" s="7" t="s">
        <v>43</v>
      </c>
      <c r="B6" s="2" t="s">
        <v>48</v>
      </c>
      <c r="C6" s="10" t="s">
        <v>45</v>
      </c>
      <c r="D6" s="10" t="s">
        <v>49</v>
      </c>
      <c r="E6" s="10" t="s">
        <v>50</v>
      </c>
      <c r="F6" s="2" t="s">
        <v>28</v>
      </c>
      <c r="G6" s="7">
        <v>8.0</v>
      </c>
      <c r="H6" s="7">
        <v>8.0</v>
      </c>
      <c r="I6" s="7" t="s">
        <v>14</v>
      </c>
      <c r="J6" s="7" t="s">
        <v>13</v>
      </c>
      <c r="K6" s="2" t="s">
        <v>38</v>
      </c>
    </row>
    <row r="7">
      <c r="A7" s="7" t="s">
        <v>51</v>
      </c>
      <c r="B7" s="2" t="s">
        <v>52</v>
      </c>
      <c r="C7" s="10" t="s">
        <v>53</v>
      </c>
      <c r="D7" s="10" t="s">
        <v>54</v>
      </c>
      <c r="E7" s="10" t="s">
        <v>55</v>
      </c>
      <c r="F7" s="2" t="s">
        <v>24</v>
      </c>
      <c r="G7" s="7">
        <v>3.0</v>
      </c>
      <c r="H7" s="7">
        <v>3.0</v>
      </c>
      <c r="I7" s="7" t="s">
        <v>14</v>
      </c>
      <c r="J7" s="7" t="s">
        <v>13</v>
      </c>
      <c r="K7" s="2" t="s">
        <v>38</v>
      </c>
    </row>
    <row r="8">
      <c r="A8" s="7" t="s">
        <v>51</v>
      </c>
      <c r="B8" s="2" t="s">
        <v>58</v>
      </c>
      <c r="C8" s="10" t="s">
        <v>53</v>
      </c>
      <c r="D8" s="10" t="s">
        <v>61</v>
      </c>
      <c r="E8" s="10" t="s">
        <v>65</v>
      </c>
      <c r="F8" s="2" t="s">
        <v>10</v>
      </c>
      <c r="G8" s="7">
        <v>3.0</v>
      </c>
      <c r="H8" s="7">
        <v>5.0</v>
      </c>
      <c r="I8" s="7" t="s">
        <v>4</v>
      </c>
      <c r="J8" s="7" t="s">
        <v>13</v>
      </c>
      <c r="K8" s="2" t="s">
        <v>38</v>
      </c>
    </row>
    <row r="9">
      <c r="A9" s="7" t="s">
        <v>68</v>
      </c>
      <c r="B9" s="2" t="s">
        <v>69</v>
      </c>
      <c r="C9" s="10" t="s">
        <v>70</v>
      </c>
      <c r="D9" s="10" t="s">
        <v>71</v>
      </c>
      <c r="E9" s="10" t="s">
        <v>73</v>
      </c>
      <c r="F9" s="2" t="s">
        <v>10</v>
      </c>
      <c r="G9" s="7">
        <v>4.0</v>
      </c>
      <c r="H9" s="7">
        <v>5.0</v>
      </c>
      <c r="I9" s="7" t="s">
        <v>4</v>
      </c>
      <c r="J9" s="7" t="s">
        <v>13</v>
      </c>
      <c r="K9" s="2" t="s">
        <v>38</v>
      </c>
    </row>
    <row r="10">
      <c r="A10" s="7" t="s">
        <v>68</v>
      </c>
      <c r="B10" s="2" t="s">
        <v>83</v>
      </c>
      <c r="C10" s="10" t="s">
        <v>40</v>
      </c>
      <c r="D10" s="10" t="s">
        <v>84</v>
      </c>
      <c r="E10" s="10" t="s">
        <v>92</v>
      </c>
      <c r="F10" s="2" t="s">
        <v>10</v>
      </c>
      <c r="G10" s="7">
        <v>5.0</v>
      </c>
      <c r="H10" s="7">
        <v>5.0</v>
      </c>
      <c r="I10" s="7" t="s">
        <v>15</v>
      </c>
      <c r="J10" s="7" t="s">
        <v>13</v>
      </c>
      <c r="K10" s="2" t="s">
        <v>38</v>
      </c>
    </row>
    <row r="11">
      <c r="F11" s="11" t="s">
        <v>99</v>
      </c>
      <c r="G11" s="12">
        <f t="shared" ref="G11:H11" si="1">SUM(G3:G10)</f>
        <v>31</v>
      </c>
      <c r="H11" s="12">
        <f t="shared" si="1"/>
        <v>39</v>
      </c>
    </row>
    <row r="12">
      <c r="F12" s="11" t="s">
        <v>108</v>
      </c>
      <c r="J12" s="14">
        <f>COUNTIF(J3:J10,"Done")/COUNTA(#REF!)</f>
        <v>8</v>
      </c>
    </row>
    <row r="21" ht="15.75" customHeight="1"/>
    <row r="22" ht="15.75" customHeight="1"/>
    <row r="23" ht="15.75" customHeight="1">
      <c r="C23" s="15"/>
      <c r="F23" s="15"/>
      <c r="G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J3:J10">
    <cfRule type="cellIs" dxfId="0" priority="1" operator="equal">
      <formula>"Done"</formula>
    </cfRule>
  </conditionalFormatting>
  <conditionalFormatting sqref="J3:J10">
    <cfRule type="cellIs" dxfId="1" priority="2" operator="equal">
      <formula>"In Progress"</formula>
    </cfRule>
  </conditionalFormatting>
  <dataValidations>
    <dataValidation type="list" allowBlank="1" showErrorMessage="1" sqref="F3:F10 C23">
      <formula1>Members!$A$2:$A$6</formula1>
    </dataValidation>
    <dataValidation type="list" allowBlank="1" showErrorMessage="1" sqref="J3:J10 G23">
      <formula1>StatusRef!$A$2:$A$4</formula1>
    </dataValidation>
    <dataValidation type="list" allowBlank="1" showErrorMessage="1" sqref="I3:I10 F23">
      <formula1>PriorityRef!$A$2:$A$4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71"/>
    <col customWidth="1" min="2" max="2" width="52.86"/>
    <col customWidth="1" min="3" max="3" width="25.71"/>
    <col customWidth="1" min="4" max="4" width="93.14"/>
    <col customWidth="1" min="5" max="5" width="78.86"/>
    <col customWidth="1" min="6" max="6" width="23.57"/>
    <col customWidth="1" min="7" max="7" width="12.71"/>
    <col customWidth="1" min="8" max="8" width="30.71"/>
    <col customWidth="1" min="9" max="25" width="9.0"/>
  </cols>
  <sheetData>
    <row r="1" ht="24.0" customHeight="1">
      <c r="A1" s="3"/>
      <c r="B1" s="4"/>
      <c r="C1" s="4"/>
      <c r="D1" s="4"/>
      <c r="E1" s="4"/>
      <c r="F1" s="4"/>
      <c r="G1" s="4"/>
      <c r="H1" s="5"/>
    </row>
    <row r="2">
      <c r="A2" s="1" t="s">
        <v>16</v>
      </c>
      <c r="B2" s="1" t="s">
        <v>17</v>
      </c>
      <c r="C2" s="8" t="s">
        <v>18</v>
      </c>
      <c r="D2" s="8" t="s">
        <v>19</v>
      </c>
      <c r="E2" s="8" t="s">
        <v>21</v>
      </c>
      <c r="F2" s="1" t="s">
        <v>23</v>
      </c>
      <c r="G2" s="1" t="s">
        <v>26</v>
      </c>
      <c r="H2" s="1" t="s">
        <v>27</v>
      </c>
      <c r="I2" s="1" t="s">
        <v>2</v>
      </c>
      <c r="J2" s="1" t="s">
        <v>1</v>
      </c>
      <c r="K2" s="1" t="s">
        <v>30</v>
      </c>
    </row>
    <row r="3">
      <c r="A3" s="7" t="s">
        <v>59</v>
      </c>
      <c r="B3" s="2" t="s">
        <v>60</v>
      </c>
      <c r="C3" s="13" t="s">
        <v>64</v>
      </c>
      <c r="D3" s="13" t="s">
        <v>66</v>
      </c>
      <c r="E3" s="13" t="s">
        <v>67</v>
      </c>
      <c r="F3" s="2" t="s">
        <v>20</v>
      </c>
      <c r="G3" s="6">
        <v>3.0</v>
      </c>
      <c r="H3" s="7">
        <v>5.0</v>
      </c>
      <c r="I3" s="7" t="s">
        <v>4</v>
      </c>
      <c r="J3" s="7" t="s">
        <v>11</v>
      </c>
      <c r="K3" s="2"/>
    </row>
    <row r="4">
      <c r="A4" s="7" t="s">
        <v>59</v>
      </c>
      <c r="B4" s="2" t="s">
        <v>76</v>
      </c>
      <c r="C4" s="13" t="s">
        <v>64</v>
      </c>
      <c r="D4" s="13" t="s">
        <v>77</v>
      </c>
      <c r="E4" s="13" t="s">
        <v>79</v>
      </c>
      <c r="F4" s="2" t="s">
        <v>24</v>
      </c>
      <c r="G4" s="6">
        <v>5.0</v>
      </c>
      <c r="H4" s="7">
        <v>8.0</v>
      </c>
      <c r="I4" s="7" t="s">
        <v>14</v>
      </c>
      <c r="J4" s="7" t="s">
        <v>11</v>
      </c>
      <c r="K4" s="2"/>
    </row>
    <row r="5">
      <c r="A5" s="7" t="s">
        <v>85</v>
      </c>
      <c r="B5" s="2" t="s">
        <v>86</v>
      </c>
      <c r="C5" s="13" t="s">
        <v>64</v>
      </c>
      <c r="D5" s="13" t="s">
        <v>89</v>
      </c>
      <c r="E5" s="13" t="s">
        <v>91</v>
      </c>
      <c r="F5" s="2" t="s">
        <v>20</v>
      </c>
      <c r="G5" s="7">
        <v>4.0</v>
      </c>
      <c r="H5" s="7">
        <v>3.0</v>
      </c>
      <c r="I5" s="7" t="s">
        <v>4</v>
      </c>
      <c r="J5" s="7" t="s">
        <v>11</v>
      </c>
      <c r="K5" s="2"/>
    </row>
    <row r="6">
      <c r="A6" s="7" t="s">
        <v>85</v>
      </c>
      <c r="B6" s="2" t="s">
        <v>97</v>
      </c>
      <c r="C6" s="13" t="s">
        <v>64</v>
      </c>
      <c r="D6" s="13" t="s">
        <v>100</v>
      </c>
      <c r="E6" s="13" t="s">
        <v>101</v>
      </c>
      <c r="F6" s="2" t="s">
        <v>20</v>
      </c>
      <c r="G6" s="6">
        <v>5.0</v>
      </c>
      <c r="H6" s="7">
        <v>5.0</v>
      </c>
      <c r="I6" s="7" t="s">
        <v>4</v>
      </c>
      <c r="J6" s="7" t="s">
        <v>11</v>
      </c>
      <c r="K6" s="2"/>
    </row>
    <row r="7">
      <c r="A7" s="7" t="s">
        <v>106</v>
      </c>
      <c r="B7" s="2" t="s">
        <v>107</v>
      </c>
      <c r="C7" s="13" t="s">
        <v>64</v>
      </c>
      <c r="D7" s="13" t="s">
        <v>109</v>
      </c>
      <c r="E7" s="13" t="s">
        <v>110</v>
      </c>
      <c r="F7" s="2" t="s">
        <v>24</v>
      </c>
      <c r="G7" s="6">
        <v>5.0</v>
      </c>
      <c r="H7" s="7">
        <v>5.0</v>
      </c>
      <c r="I7" s="7" t="s">
        <v>14</v>
      </c>
      <c r="J7" s="7" t="s">
        <v>11</v>
      </c>
      <c r="K7" s="2"/>
    </row>
    <row r="8">
      <c r="A8" s="7" t="s">
        <v>106</v>
      </c>
      <c r="B8" s="2" t="s">
        <v>119</v>
      </c>
      <c r="C8" s="13" t="s">
        <v>64</v>
      </c>
      <c r="D8" s="13" t="s">
        <v>121</v>
      </c>
      <c r="E8" s="13" t="s">
        <v>122</v>
      </c>
      <c r="F8" s="2" t="s">
        <v>10</v>
      </c>
      <c r="G8" s="6">
        <v>8.0</v>
      </c>
      <c r="H8" s="7">
        <v>13.0</v>
      </c>
      <c r="I8" s="7" t="s">
        <v>15</v>
      </c>
      <c r="J8" s="7" t="s">
        <v>11</v>
      </c>
      <c r="K8" s="2"/>
    </row>
    <row r="9">
      <c r="A9" s="7" t="s">
        <v>127</v>
      </c>
      <c r="B9" s="2" t="s">
        <v>129</v>
      </c>
      <c r="C9" s="13" t="s">
        <v>53</v>
      </c>
      <c r="D9" s="13" t="s">
        <v>131</v>
      </c>
      <c r="E9" s="13" t="s">
        <v>133</v>
      </c>
      <c r="F9" s="2" t="s">
        <v>10</v>
      </c>
      <c r="G9" s="6">
        <v>3.0</v>
      </c>
      <c r="H9" s="7">
        <v>5.0</v>
      </c>
      <c r="I9" s="7" t="s">
        <v>14</v>
      </c>
      <c r="J9" s="7" t="s">
        <v>11</v>
      </c>
      <c r="K9" s="2"/>
    </row>
    <row r="10">
      <c r="A10" s="7" t="s">
        <v>127</v>
      </c>
      <c r="B10" s="2" t="s">
        <v>139</v>
      </c>
      <c r="C10" s="13" t="s">
        <v>53</v>
      </c>
      <c r="D10" s="13" t="s">
        <v>143</v>
      </c>
      <c r="E10" s="13" t="s">
        <v>144</v>
      </c>
      <c r="F10" s="2" t="s">
        <v>28</v>
      </c>
      <c r="G10" s="6">
        <v>5.0</v>
      </c>
      <c r="H10" s="7">
        <v>8.0</v>
      </c>
      <c r="I10" s="7" t="s">
        <v>14</v>
      </c>
      <c r="J10" s="7" t="s">
        <v>11</v>
      </c>
      <c r="K10" s="2"/>
    </row>
    <row r="11">
      <c r="A11" s="7" t="s">
        <v>148</v>
      </c>
      <c r="B11" s="2" t="s">
        <v>149</v>
      </c>
      <c r="C11" s="13" t="s">
        <v>70</v>
      </c>
      <c r="D11" s="13" t="s">
        <v>150</v>
      </c>
      <c r="E11" s="13" t="s">
        <v>151</v>
      </c>
      <c r="F11" s="2"/>
      <c r="G11" s="6">
        <v>5.0</v>
      </c>
      <c r="H11" s="7">
        <v>8.0</v>
      </c>
      <c r="I11" s="7" t="s">
        <v>15</v>
      </c>
      <c r="J11" s="7"/>
      <c r="K11" s="2"/>
    </row>
    <row r="12">
      <c r="A12" s="7" t="s">
        <v>148</v>
      </c>
      <c r="B12" s="2" t="s">
        <v>160</v>
      </c>
      <c r="C12" s="13" t="s">
        <v>70</v>
      </c>
      <c r="D12" s="13" t="s">
        <v>161</v>
      </c>
      <c r="E12" s="13" t="s">
        <v>162</v>
      </c>
      <c r="F12" s="2" t="s">
        <v>28</v>
      </c>
      <c r="G12" s="6">
        <v>8.0</v>
      </c>
      <c r="H12" s="7">
        <v>8.0</v>
      </c>
      <c r="I12" s="7" t="s">
        <v>15</v>
      </c>
      <c r="J12" s="7" t="s">
        <v>11</v>
      </c>
      <c r="K12" s="2"/>
    </row>
    <row r="13">
      <c r="F13" s="11" t="s">
        <v>99</v>
      </c>
      <c r="G13" s="12">
        <f t="shared" ref="G13:H13" si="1">SUM(G3:G12)</f>
        <v>51</v>
      </c>
      <c r="H13" s="12">
        <f t="shared" si="1"/>
        <v>68</v>
      </c>
    </row>
    <row r="14">
      <c r="F14" s="11" t="s">
        <v>108</v>
      </c>
      <c r="J14" s="14">
        <f>COUNTIF(J3:J12,"Done")/COUNTA(#REF!)</f>
        <v>0</v>
      </c>
    </row>
    <row r="17">
      <c r="C17" s="15"/>
      <c r="F17" s="15"/>
      <c r="G17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J3:J12">
    <cfRule type="cellIs" dxfId="0" priority="1" operator="equal">
      <formula>"Done"</formula>
    </cfRule>
  </conditionalFormatting>
  <conditionalFormatting sqref="J3:J12">
    <cfRule type="cellIs" dxfId="1" priority="2" operator="equal">
      <formula>"In Progress"</formula>
    </cfRule>
  </conditionalFormatting>
  <dataValidations>
    <dataValidation type="list" allowBlank="1" showErrorMessage="1" sqref="F3:F12 C17">
      <formula1>Members!$A$2:$A$6</formula1>
    </dataValidation>
    <dataValidation type="list" allowBlank="1" showErrorMessage="1" sqref="J3:J12 G17">
      <formula1>StatusRef!$A$2:$A$4</formula1>
    </dataValidation>
    <dataValidation type="list" allowBlank="1" showErrorMessage="1" sqref="I3:I12 F17">
      <formula1>PriorityRef!$A$2:$A$4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71"/>
    <col customWidth="1" min="2" max="2" width="44.57"/>
    <col customWidth="1" min="3" max="3" width="15.29"/>
    <col customWidth="1" min="4" max="4" width="101.43"/>
    <col customWidth="1" min="5" max="5" width="81.0"/>
    <col customWidth="1" min="6" max="7" width="12.71"/>
    <col customWidth="1" min="8" max="8" width="30.71"/>
    <col customWidth="1" min="9" max="25" width="9.0"/>
  </cols>
  <sheetData>
    <row r="1" ht="24.0" customHeight="1">
      <c r="A1" s="3"/>
      <c r="B1" s="4"/>
      <c r="C1" s="4"/>
      <c r="D1" s="4"/>
      <c r="E1" s="4"/>
      <c r="F1" s="4"/>
      <c r="G1" s="4"/>
      <c r="H1" s="5"/>
    </row>
    <row r="2">
      <c r="A2" s="1" t="s">
        <v>16</v>
      </c>
      <c r="B2" s="1" t="s">
        <v>17</v>
      </c>
      <c r="C2" s="8" t="s">
        <v>18</v>
      </c>
      <c r="D2" s="8" t="s">
        <v>19</v>
      </c>
      <c r="E2" s="8" t="s">
        <v>21</v>
      </c>
      <c r="F2" s="1" t="s">
        <v>23</v>
      </c>
      <c r="G2" s="1" t="s">
        <v>26</v>
      </c>
      <c r="H2" s="1" t="s">
        <v>27</v>
      </c>
      <c r="I2" s="1" t="s">
        <v>2</v>
      </c>
      <c r="J2" s="1" t="s">
        <v>1</v>
      </c>
      <c r="K2" s="1" t="s">
        <v>30</v>
      </c>
    </row>
    <row r="3">
      <c r="A3" s="7" t="s">
        <v>56</v>
      </c>
      <c r="B3" s="2" t="s">
        <v>57</v>
      </c>
      <c r="C3" s="13" t="s">
        <v>53</v>
      </c>
      <c r="D3" s="13" t="s">
        <v>62</v>
      </c>
      <c r="E3" s="13" t="s">
        <v>63</v>
      </c>
      <c r="F3" s="2"/>
      <c r="G3" s="7"/>
      <c r="H3" s="7">
        <v>4.0</v>
      </c>
      <c r="I3" s="7" t="s">
        <v>4</v>
      </c>
      <c r="J3" s="7" t="s">
        <v>5</v>
      </c>
      <c r="K3" s="2"/>
    </row>
    <row r="4">
      <c r="A4" s="7" t="s">
        <v>56</v>
      </c>
      <c r="B4" s="2" t="s">
        <v>72</v>
      </c>
      <c r="C4" s="13" t="s">
        <v>70</v>
      </c>
      <c r="D4" s="13" t="s">
        <v>74</v>
      </c>
      <c r="E4" s="13" t="s">
        <v>75</v>
      </c>
      <c r="F4" s="2"/>
      <c r="G4" s="7"/>
      <c r="H4" s="7">
        <v>2.0</v>
      </c>
      <c r="I4" s="7" t="s">
        <v>14</v>
      </c>
      <c r="J4" s="7" t="s">
        <v>5</v>
      </c>
      <c r="K4" s="2"/>
    </row>
    <row r="5">
      <c r="A5" s="7" t="s">
        <v>78</v>
      </c>
      <c r="B5" s="2" t="s">
        <v>80</v>
      </c>
      <c r="C5" s="13" t="s">
        <v>45</v>
      </c>
      <c r="D5" s="13" t="s">
        <v>81</v>
      </c>
      <c r="E5" s="13" t="s">
        <v>82</v>
      </c>
      <c r="F5" s="2"/>
      <c r="G5" s="7"/>
      <c r="H5" s="7">
        <v>4.0</v>
      </c>
      <c r="I5" s="7" t="s">
        <v>4</v>
      </c>
      <c r="J5" s="7" t="s">
        <v>5</v>
      </c>
      <c r="K5" s="2"/>
    </row>
    <row r="6">
      <c r="A6" s="7" t="s">
        <v>78</v>
      </c>
      <c r="B6" s="2" t="s">
        <v>87</v>
      </c>
      <c r="C6" s="13" t="s">
        <v>40</v>
      </c>
      <c r="D6" s="13" t="s">
        <v>88</v>
      </c>
      <c r="E6" s="13" t="s">
        <v>90</v>
      </c>
      <c r="F6" s="2"/>
      <c r="G6" s="7"/>
      <c r="H6" s="7">
        <v>2.0</v>
      </c>
      <c r="I6" s="7" t="s">
        <v>14</v>
      </c>
      <c r="J6" s="7" t="s">
        <v>5</v>
      </c>
      <c r="K6" s="2"/>
    </row>
    <row r="7">
      <c r="A7" s="7" t="s">
        <v>93</v>
      </c>
      <c r="B7" s="2" t="s">
        <v>94</v>
      </c>
      <c r="C7" s="13" t="s">
        <v>95</v>
      </c>
      <c r="D7" s="13" t="s">
        <v>96</v>
      </c>
      <c r="E7" s="13" t="s">
        <v>98</v>
      </c>
      <c r="F7" s="2"/>
      <c r="G7" s="7"/>
      <c r="H7" s="7">
        <v>4.0</v>
      </c>
      <c r="I7" s="7" t="s">
        <v>4</v>
      </c>
      <c r="J7" s="7" t="s">
        <v>5</v>
      </c>
      <c r="K7" s="2"/>
    </row>
    <row r="8">
      <c r="A8" s="7" t="s">
        <v>93</v>
      </c>
      <c r="B8" s="2" t="s">
        <v>102</v>
      </c>
      <c r="C8" s="13" t="s">
        <v>103</v>
      </c>
      <c r="D8" s="13" t="s">
        <v>104</v>
      </c>
      <c r="E8" s="13" t="s">
        <v>105</v>
      </c>
      <c r="F8" s="2"/>
      <c r="G8" s="7"/>
      <c r="H8" s="7">
        <v>2.0</v>
      </c>
      <c r="I8" s="7" t="s">
        <v>14</v>
      </c>
      <c r="J8" s="7" t="s">
        <v>5</v>
      </c>
      <c r="K8" s="2"/>
    </row>
    <row r="9">
      <c r="A9" s="7" t="s">
        <v>111</v>
      </c>
      <c r="B9" s="2" t="s">
        <v>112</v>
      </c>
      <c r="C9" s="13" t="s">
        <v>103</v>
      </c>
      <c r="D9" s="13" t="s">
        <v>114</v>
      </c>
      <c r="E9" s="13" t="s">
        <v>116</v>
      </c>
      <c r="F9" s="2"/>
      <c r="G9" s="7"/>
      <c r="H9" s="7">
        <v>4.0</v>
      </c>
      <c r="I9" s="7" t="s">
        <v>4</v>
      </c>
      <c r="J9" s="7" t="s">
        <v>5</v>
      </c>
      <c r="K9" s="2"/>
    </row>
    <row r="10">
      <c r="A10" s="7" t="s">
        <v>111</v>
      </c>
      <c r="B10" s="2" t="s">
        <v>120</v>
      </c>
      <c r="C10" s="13" t="s">
        <v>40</v>
      </c>
      <c r="D10" s="13" t="s">
        <v>116</v>
      </c>
      <c r="E10" s="13" t="s">
        <v>123</v>
      </c>
      <c r="F10" s="2"/>
      <c r="G10" s="7"/>
      <c r="H10" s="7">
        <v>2.0</v>
      </c>
      <c r="I10" s="7" t="s">
        <v>14</v>
      </c>
      <c r="J10" s="7" t="s">
        <v>5</v>
      </c>
      <c r="K10" s="2"/>
    </row>
    <row r="11">
      <c r="A11" s="7" t="s">
        <v>128</v>
      </c>
      <c r="B11" s="2" t="s">
        <v>130</v>
      </c>
      <c r="C11" s="13" t="s">
        <v>95</v>
      </c>
      <c r="D11" s="13" t="s">
        <v>132</v>
      </c>
      <c r="E11" s="13" t="s">
        <v>134</v>
      </c>
      <c r="F11" s="2"/>
      <c r="G11" s="7"/>
      <c r="H11" s="7">
        <v>4.0</v>
      </c>
      <c r="I11" s="7" t="s">
        <v>4</v>
      </c>
      <c r="J11" s="7" t="s">
        <v>5</v>
      </c>
      <c r="K11" s="2"/>
    </row>
    <row r="12">
      <c r="A12" s="7" t="s">
        <v>128</v>
      </c>
      <c r="B12" s="2" t="s">
        <v>138</v>
      </c>
      <c r="C12" s="13" t="s">
        <v>103</v>
      </c>
      <c r="D12" s="13" t="s">
        <v>141</v>
      </c>
      <c r="E12" s="13" t="s">
        <v>142</v>
      </c>
      <c r="F12" s="2"/>
      <c r="G12" s="7"/>
      <c r="H12" s="7">
        <v>2.0</v>
      </c>
      <c r="I12" s="7" t="s">
        <v>14</v>
      </c>
      <c r="J12" s="7" t="s">
        <v>5</v>
      </c>
      <c r="K12" s="2"/>
    </row>
    <row r="13">
      <c r="A13" s="7" t="s">
        <v>153</v>
      </c>
      <c r="B13" s="2" t="s">
        <v>155</v>
      </c>
      <c r="C13" s="13" t="s">
        <v>40</v>
      </c>
      <c r="D13" s="13" t="s">
        <v>157</v>
      </c>
      <c r="E13" s="13" t="s">
        <v>159</v>
      </c>
      <c r="F13" s="2"/>
      <c r="G13" s="7"/>
      <c r="H13" s="7">
        <v>4.0</v>
      </c>
      <c r="I13" s="7" t="s">
        <v>4</v>
      </c>
      <c r="J13" s="7" t="s">
        <v>5</v>
      </c>
      <c r="K13" s="2"/>
    </row>
    <row r="14">
      <c r="F14" s="11" t="s">
        <v>99</v>
      </c>
      <c r="G14" s="12">
        <f t="shared" ref="G14:H14" si="1">SUM(G3:G13)</f>
        <v>0</v>
      </c>
      <c r="H14" s="12">
        <f t="shared" si="1"/>
        <v>34</v>
      </c>
    </row>
    <row r="15">
      <c r="F15" s="11" t="s">
        <v>108</v>
      </c>
      <c r="J15" s="14">
        <f>COUNTIF(J3:J13,"Done")/COUNTA(#REF!)</f>
        <v>0</v>
      </c>
    </row>
    <row r="21" ht="15.75" customHeight="1"/>
    <row r="22" ht="15.75" customHeight="1"/>
    <row r="23" ht="15.75" customHeight="1">
      <c r="C23" s="15"/>
      <c r="F23" s="15"/>
      <c r="G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J3:J13">
    <cfRule type="cellIs" dxfId="0" priority="1" operator="equal">
      <formula>"Done"</formula>
    </cfRule>
  </conditionalFormatting>
  <conditionalFormatting sqref="J3:J13">
    <cfRule type="cellIs" dxfId="1" priority="2" operator="equal">
      <formula>"In Progress"</formula>
    </cfRule>
  </conditionalFormatting>
  <dataValidations>
    <dataValidation type="list" allowBlank="1" showErrorMessage="1" sqref="F3:F13 C23">
      <formula1>Members!$A$2:$A$6</formula1>
    </dataValidation>
    <dataValidation type="list" allowBlank="1" showErrorMessage="1" sqref="J3:J13 G23">
      <formula1>StatusRef!$A$2:$A$4</formula1>
    </dataValidation>
    <dataValidation type="list" allowBlank="1" showErrorMessage="1" sqref="I3:I13 F23">
      <formula1>PriorityRef!$A$2:$A$4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71"/>
    <col customWidth="1" min="2" max="2" width="33.0"/>
    <col customWidth="1" min="3" max="3" width="19.57"/>
    <col customWidth="1" min="4" max="4" width="109.43"/>
    <col customWidth="1" min="5" max="5" width="78.86"/>
    <col customWidth="1" min="6" max="7" width="12.71"/>
    <col customWidth="1" min="8" max="8" width="30.71"/>
    <col customWidth="1" min="9" max="25" width="9.0"/>
  </cols>
  <sheetData>
    <row r="1" ht="24.0" customHeight="1">
      <c r="A1" s="3"/>
      <c r="B1" s="4"/>
      <c r="C1" s="4"/>
      <c r="D1" s="4"/>
      <c r="E1" s="4"/>
      <c r="F1" s="4"/>
      <c r="G1" s="4"/>
      <c r="H1" s="5"/>
    </row>
    <row r="2">
      <c r="A2" s="1" t="s">
        <v>16</v>
      </c>
      <c r="B2" s="1" t="s">
        <v>17</v>
      </c>
      <c r="C2" s="8" t="s">
        <v>18</v>
      </c>
      <c r="D2" s="8" t="s">
        <v>19</v>
      </c>
      <c r="E2" s="8" t="s">
        <v>21</v>
      </c>
      <c r="F2" s="1" t="s">
        <v>23</v>
      </c>
      <c r="G2" s="1" t="s">
        <v>26</v>
      </c>
      <c r="H2" s="1" t="s">
        <v>27</v>
      </c>
      <c r="I2" s="1" t="s">
        <v>2</v>
      </c>
      <c r="J2" s="1" t="s">
        <v>1</v>
      </c>
      <c r="K2" s="1" t="s">
        <v>30</v>
      </c>
    </row>
    <row r="3">
      <c r="A3" s="7" t="s">
        <v>113</v>
      </c>
      <c r="B3" s="2" t="s">
        <v>115</v>
      </c>
      <c r="C3" s="13" t="s">
        <v>53</v>
      </c>
      <c r="D3" s="13" t="s">
        <v>117</v>
      </c>
      <c r="E3" s="13" t="s">
        <v>118</v>
      </c>
      <c r="F3" s="2"/>
      <c r="G3" s="7"/>
      <c r="H3" s="7"/>
      <c r="I3" s="7"/>
      <c r="J3" s="7" t="s">
        <v>5</v>
      </c>
      <c r="K3" s="2"/>
    </row>
    <row r="4">
      <c r="A4" s="7" t="s">
        <v>113</v>
      </c>
      <c r="B4" s="2" t="s">
        <v>124</v>
      </c>
      <c r="C4" s="13" t="s">
        <v>45</v>
      </c>
      <c r="D4" s="13" t="s">
        <v>125</v>
      </c>
      <c r="E4" s="13" t="s">
        <v>126</v>
      </c>
      <c r="F4" s="2"/>
      <c r="G4" s="7"/>
      <c r="H4" s="7"/>
      <c r="I4" s="7"/>
      <c r="J4" s="7" t="s">
        <v>5</v>
      </c>
      <c r="K4" s="2"/>
    </row>
    <row r="5">
      <c r="A5" s="7" t="s">
        <v>135</v>
      </c>
      <c r="B5" s="2" t="s">
        <v>136</v>
      </c>
      <c r="C5" s="13" t="s">
        <v>40</v>
      </c>
      <c r="D5" s="13" t="s">
        <v>137</v>
      </c>
      <c r="E5" s="13" t="s">
        <v>140</v>
      </c>
      <c r="F5" s="2"/>
      <c r="G5" s="7"/>
      <c r="H5" s="7"/>
      <c r="I5" s="7"/>
      <c r="J5" s="7" t="s">
        <v>5</v>
      </c>
      <c r="K5" s="2"/>
    </row>
    <row r="6">
      <c r="A6" s="7" t="s">
        <v>135</v>
      </c>
      <c r="B6" s="2" t="s">
        <v>145</v>
      </c>
      <c r="C6" s="13" t="s">
        <v>70</v>
      </c>
      <c r="D6" s="13" t="s">
        <v>146</v>
      </c>
      <c r="E6" s="13" t="s">
        <v>147</v>
      </c>
      <c r="F6" s="2"/>
      <c r="G6" s="7"/>
      <c r="H6" s="7"/>
      <c r="I6" s="7"/>
      <c r="J6" s="7" t="s">
        <v>5</v>
      </c>
      <c r="K6" s="2"/>
    </row>
    <row r="7">
      <c r="A7" s="7" t="s">
        <v>152</v>
      </c>
      <c r="B7" s="2" t="s">
        <v>154</v>
      </c>
      <c r="C7" s="13" t="s">
        <v>45</v>
      </c>
      <c r="D7" s="13" t="s">
        <v>156</v>
      </c>
      <c r="E7" s="13" t="s">
        <v>158</v>
      </c>
      <c r="F7" s="2"/>
      <c r="G7" s="7"/>
      <c r="H7" s="7"/>
      <c r="I7" s="7"/>
      <c r="J7" s="7" t="s">
        <v>5</v>
      </c>
      <c r="K7" s="2"/>
    </row>
    <row r="8">
      <c r="A8" s="7" t="s">
        <v>152</v>
      </c>
      <c r="B8" s="2" t="s">
        <v>163</v>
      </c>
      <c r="C8" s="13" t="s">
        <v>53</v>
      </c>
      <c r="D8" s="13" t="s">
        <v>164</v>
      </c>
      <c r="E8" s="13" t="s">
        <v>165</v>
      </c>
      <c r="F8" s="2"/>
      <c r="G8" s="7"/>
      <c r="H8" s="7"/>
      <c r="I8" s="7"/>
      <c r="J8" s="7" t="s">
        <v>5</v>
      </c>
      <c r="K8" s="2"/>
    </row>
    <row r="9">
      <c r="A9" s="7" t="s">
        <v>166</v>
      </c>
      <c r="B9" s="2" t="s">
        <v>167</v>
      </c>
      <c r="C9" s="13" t="s">
        <v>168</v>
      </c>
      <c r="D9" s="13" t="s">
        <v>169</v>
      </c>
      <c r="E9" s="13" t="s">
        <v>170</v>
      </c>
      <c r="F9" s="2"/>
      <c r="G9" s="7"/>
      <c r="H9" s="7"/>
      <c r="I9" s="7"/>
      <c r="J9" s="7" t="s">
        <v>5</v>
      </c>
      <c r="K9" s="2"/>
    </row>
    <row r="10">
      <c r="A10" s="7" t="s">
        <v>166</v>
      </c>
      <c r="B10" s="2" t="s">
        <v>171</v>
      </c>
      <c r="C10" s="13" t="s">
        <v>53</v>
      </c>
      <c r="D10" s="13" t="s">
        <v>164</v>
      </c>
      <c r="E10" s="13" t="s">
        <v>165</v>
      </c>
      <c r="F10" s="2"/>
      <c r="G10" s="7"/>
      <c r="H10" s="7"/>
      <c r="I10" s="7"/>
      <c r="J10" s="7" t="s">
        <v>5</v>
      </c>
      <c r="K10" s="2"/>
    </row>
    <row r="11">
      <c r="A11" s="7" t="s">
        <v>172</v>
      </c>
      <c r="B11" s="2" t="s">
        <v>173</v>
      </c>
      <c r="C11" s="13" t="s">
        <v>53</v>
      </c>
      <c r="D11" s="13" t="s">
        <v>169</v>
      </c>
      <c r="E11" s="13" t="s">
        <v>170</v>
      </c>
      <c r="F11" s="2"/>
      <c r="G11" s="7"/>
      <c r="H11" s="7"/>
      <c r="I11" s="7"/>
      <c r="J11" s="7" t="s">
        <v>5</v>
      </c>
      <c r="K11" s="2"/>
    </row>
    <row r="12">
      <c r="A12" s="7" t="s">
        <v>172</v>
      </c>
      <c r="B12" s="2" t="s">
        <v>174</v>
      </c>
      <c r="C12" s="13" t="s">
        <v>45</v>
      </c>
      <c r="D12" s="13" t="s">
        <v>175</v>
      </c>
      <c r="E12" s="13" t="s">
        <v>176</v>
      </c>
      <c r="F12" s="2"/>
      <c r="G12" s="7"/>
      <c r="H12" s="7"/>
      <c r="I12" s="7"/>
      <c r="J12" s="7" t="s">
        <v>5</v>
      </c>
      <c r="K12" s="2"/>
    </row>
    <row r="13">
      <c r="A13" s="7" t="s">
        <v>177</v>
      </c>
      <c r="B13" s="2" t="s">
        <v>178</v>
      </c>
      <c r="C13" s="13" t="s">
        <v>45</v>
      </c>
      <c r="D13" s="13" t="s">
        <v>179</v>
      </c>
      <c r="E13" s="13" t="s">
        <v>180</v>
      </c>
      <c r="F13" s="2"/>
      <c r="G13" s="7"/>
      <c r="H13" s="7"/>
      <c r="I13" s="7"/>
      <c r="J13" s="7" t="s">
        <v>5</v>
      </c>
      <c r="K13" s="2"/>
    </row>
    <row r="14">
      <c r="F14" s="11" t="s">
        <v>99</v>
      </c>
      <c r="G14" s="12">
        <f t="shared" ref="G14:H14" si="1">SUM(G3:G13)</f>
        <v>0</v>
      </c>
      <c r="H14" s="12">
        <f t="shared" si="1"/>
        <v>0</v>
      </c>
    </row>
    <row r="15">
      <c r="F15" s="11" t="s">
        <v>108</v>
      </c>
      <c r="J15" s="14">
        <f>COUNTIF(J3:J13,"Done")/COUNTA(#REF!)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C37" s="15"/>
      <c r="F37" s="15"/>
      <c r="G37" s="1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J3:J13">
    <cfRule type="cellIs" dxfId="0" priority="1" operator="equal">
      <formula>"Done"</formula>
    </cfRule>
  </conditionalFormatting>
  <conditionalFormatting sqref="J3:J13">
    <cfRule type="cellIs" dxfId="1" priority="2" operator="equal">
      <formula>"In Progress"</formula>
    </cfRule>
  </conditionalFormatting>
  <dataValidations>
    <dataValidation type="list" allowBlank="1" showErrorMessage="1" sqref="F3:F13 C37">
      <formula1>Members!$A$2:$A$6</formula1>
    </dataValidation>
    <dataValidation type="list" allowBlank="1" showErrorMessage="1" sqref="J3:J13 G37">
      <formula1>StatusRef!$A$2:$A$4</formula1>
    </dataValidation>
    <dataValidation type="list" allowBlank="1" showErrorMessage="1" sqref="I3:I13 F37">
      <formula1>PriorityRef!$A$2:$A$4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71"/>
    <col customWidth="1" min="3" max="3" width="35.71"/>
    <col customWidth="1" min="4" max="4" width="53.29"/>
    <col customWidth="1" min="5" max="5" width="35.71"/>
    <col customWidth="1" min="6" max="6" width="20.71"/>
    <col customWidth="1" min="7" max="26" width="9.0"/>
  </cols>
  <sheetData>
    <row r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s="16">
        <v>46205.0</v>
      </c>
      <c r="B2" s="2"/>
      <c r="C2" s="2"/>
      <c r="D2" s="2"/>
      <c r="E2" s="2"/>
      <c r="F2" s="2"/>
    </row>
    <row r="3">
      <c r="A3" s="7"/>
      <c r="B3" s="2"/>
      <c r="C3" s="2"/>
      <c r="D3" s="2"/>
      <c r="E3" s="2"/>
      <c r="F3" s="2"/>
    </row>
    <row r="4">
      <c r="A4" s="7"/>
      <c r="B4" s="2"/>
      <c r="C4" s="2"/>
      <c r="D4" s="2"/>
      <c r="E4" s="2"/>
      <c r="F4" s="2"/>
    </row>
    <row r="5">
      <c r="A5" s="7"/>
      <c r="B5" s="2"/>
      <c r="C5" s="2"/>
      <c r="D5" s="2"/>
      <c r="E5" s="2"/>
      <c r="F5" s="2"/>
    </row>
    <row r="6">
      <c r="A6" s="7"/>
      <c r="B6" s="2"/>
      <c r="C6" s="2"/>
      <c r="D6" s="2"/>
      <c r="E6" s="2"/>
      <c r="F6" s="2"/>
    </row>
    <row r="7">
      <c r="B7" s="15"/>
      <c r="F7" s="15"/>
    </row>
    <row r="8">
      <c r="B8" s="15"/>
      <c r="F8" s="15"/>
    </row>
    <row r="9">
      <c r="B9" s="15"/>
      <c r="F9" s="15"/>
    </row>
    <row r="10">
      <c r="B10" s="15"/>
      <c r="F10" s="15"/>
    </row>
    <row r="11">
      <c r="B11" s="15"/>
      <c r="F11" s="15"/>
    </row>
    <row r="12">
      <c r="B12" s="15"/>
      <c r="F12" s="15"/>
    </row>
    <row r="13">
      <c r="B13" s="15"/>
      <c r="F13" s="15"/>
    </row>
    <row r="14">
      <c r="B14" s="15"/>
      <c r="F14" s="15"/>
    </row>
    <row r="15">
      <c r="B15" s="15"/>
      <c r="F15" s="15"/>
    </row>
    <row r="16">
      <c r="B16" s="15"/>
      <c r="F16" s="15"/>
    </row>
    <row r="17">
      <c r="B17" s="15"/>
      <c r="F17" s="15"/>
    </row>
    <row r="18">
      <c r="B18" s="15"/>
      <c r="F18" s="15"/>
    </row>
    <row r="19">
      <c r="B19" s="15"/>
      <c r="F19" s="15"/>
    </row>
    <row r="20">
      <c r="B20" s="15"/>
      <c r="F20" s="15"/>
    </row>
    <row r="21" ht="15.75" customHeight="1">
      <c r="B21" s="15"/>
      <c r="F21" s="15"/>
    </row>
    <row r="22" ht="15.75" customHeight="1">
      <c r="B22" s="15"/>
      <c r="F22" s="15"/>
    </row>
    <row r="23" ht="15.75" customHeight="1">
      <c r="B23" s="15"/>
      <c r="F23" s="15"/>
    </row>
    <row r="24" ht="15.75" customHeight="1">
      <c r="B24" s="15"/>
      <c r="F24" s="15"/>
    </row>
    <row r="25" ht="15.75" customHeight="1">
      <c r="B25" s="15"/>
      <c r="F25" s="15"/>
    </row>
    <row r="26" ht="15.75" customHeight="1">
      <c r="B26" s="15"/>
      <c r="F26" s="15"/>
    </row>
    <row r="27" ht="15.75" customHeight="1">
      <c r="B27" s="15"/>
      <c r="F27" s="15"/>
    </row>
    <row r="28" ht="15.75" customHeight="1">
      <c r="B28" s="15"/>
      <c r="F28" s="15"/>
    </row>
    <row r="29" ht="15.75" customHeight="1">
      <c r="B29" s="15"/>
      <c r="F29" s="15"/>
    </row>
    <row r="30" ht="15.75" customHeight="1">
      <c r="B30" s="15"/>
      <c r="F30" s="15"/>
    </row>
    <row r="31" ht="15.75" customHeight="1">
      <c r="B31" s="15"/>
      <c r="F31" s="15"/>
    </row>
    <row r="32" ht="15.75" customHeight="1">
      <c r="B32" s="15"/>
      <c r="F32" s="15"/>
    </row>
    <row r="33" ht="15.75" customHeight="1">
      <c r="B33" s="15"/>
      <c r="F33" s="15"/>
    </row>
    <row r="34" ht="15.75" customHeight="1">
      <c r="B34" s="15"/>
      <c r="F34" s="15"/>
    </row>
    <row r="35" ht="15.75" customHeight="1">
      <c r="B35" s="15"/>
      <c r="F35" s="15"/>
    </row>
    <row r="36" ht="15.75" customHeight="1">
      <c r="B36" s="15"/>
      <c r="F36" s="15"/>
    </row>
    <row r="37" ht="15.75" customHeight="1">
      <c r="B37" s="15"/>
      <c r="F37" s="15"/>
    </row>
    <row r="38" ht="15.75" customHeight="1">
      <c r="B38" s="15"/>
      <c r="F38" s="15"/>
    </row>
    <row r="39" ht="15.75" customHeight="1">
      <c r="B39" s="15"/>
      <c r="F39" s="15"/>
    </row>
    <row r="40" ht="15.75" customHeight="1">
      <c r="B40" s="15"/>
      <c r="F40" s="15"/>
    </row>
    <row r="41" ht="15.75" customHeight="1">
      <c r="B41" s="15"/>
      <c r="F41" s="15"/>
    </row>
    <row r="42" ht="15.75" customHeight="1">
      <c r="B42" s="15"/>
      <c r="F42" s="15"/>
    </row>
    <row r="43" ht="15.75" customHeight="1">
      <c r="B43" s="15"/>
      <c r="F43" s="15"/>
    </row>
    <row r="44" ht="15.75" customHeight="1">
      <c r="B44" s="15"/>
      <c r="F44" s="15"/>
    </row>
    <row r="45" ht="15.75" customHeight="1">
      <c r="B45" s="15"/>
      <c r="F45" s="15"/>
    </row>
    <row r="46" ht="15.75" customHeight="1">
      <c r="B46" s="15"/>
      <c r="F46" s="15"/>
    </row>
    <row r="47" ht="15.75" customHeight="1">
      <c r="B47" s="15"/>
      <c r="F47" s="15"/>
    </row>
    <row r="48" ht="15.75" customHeight="1">
      <c r="B48" s="15"/>
      <c r="F48" s="15"/>
    </row>
    <row r="49" ht="15.75" customHeight="1">
      <c r="B49" s="15"/>
      <c r="F49" s="15"/>
    </row>
    <row r="50" ht="15.75" customHeight="1">
      <c r="B50" s="15"/>
      <c r="F50" s="15"/>
    </row>
    <row r="51" ht="15.75" customHeight="1">
      <c r="B51" s="15"/>
      <c r="F51" s="15"/>
    </row>
    <row r="52" ht="15.75" customHeight="1">
      <c r="B52" s="15"/>
      <c r="F52" s="15"/>
    </row>
    <row r="53" ht="15.75" customHeight="1">
      <c r="B53" s="15"/>
      <c r="F53" s="15"/>
    </row>
    <row r="54" ht="15.75" customHeight="1">
      <c r="B54" s="15"/>
      <c r="F54" s="15"/>
    </row>
    <row r="55" ht="15.75" customHeight="1">
      <c r="B55" s="15"/>
      <c r="F55" s="15"/>
    </row>
    <row r="56" ht="15.75" customHeight="1">
      <c r="B56" s="15"/>
      <c r="F56" s="15"/>
    </row>
    <row r="57" ht="15.75" customHeight="1">
      <c r="B57" s="15"/>
      <c r="F57" s="15"/>
    </row>
    <row r="58" ht="15.75" customHeight="1">
      <c r="B58" s="15"/>
      <c r="F58" s="15"/>
    </row>
    <row r="59" ht="15.75" customHeight="1">
      <c r="B59" s="15"/>
      <c r="F59" s="15"/>
    </row>
    <row r="60" ht="15.75" customHeight="1">
      <c r="B60" s="15"/>
      <c r="F60" s="15"/>
    </row>
    <row r="61" ht="15.75" customHeight="1">
      <c r="B61" s="15"/>
      <c r="F61" s="15"/>
    </row>
    <row r="62" ht="15.75" customHeight="1">
      <c r="B62" s="15"/>
      <c r="F62" s="15"/>
    </row>
    <row r="63" ht="15.75" customHeight="1">
      <c r="B63" s="15"/>
      <c r="F63" s="15"/>
    </row>
    <row r="64" ht="15.75" customHeight="1">
      <c r="B64" s="15"/>
      <c r="F64" s="15"/>
    </row>
    <row r="65" ht="15.75" customHeight="1">
      <c r="B65" s="15"/>
      <c r="F65" s="15"/>
    </row>
    <row r="66" ht="15.75" customHeight="1">
      <c r="B66" s="15"/>
      <c r="F66" s="15"/>
    </row>
    <row r="67" ht="15.75" customHeight="1">
      <c r="B67" s="15"/>
      <c r="F67" s="15"/>
    </row>
    <row r="68" ht="15.75" customHeight="1">
      <c r="B68" s="15"/>
      <c r="F68" s="15"/>
    </row>
    <row r="69" ht="15.75" customHeight="1">
      <c r="B69" s="15"/>
      <c r="F69" s="15"/>
    </row>
    <row r="70" ht="15.75" customHeight="1">
      <c r="B70" s="15"/>
      <c r="F70" s="15"/>
    </row>
    <row r="71" ht="15.75" customHeight="1">
      <c r="B71" s="15"/>
      <c r="F71" s="15"/>
    </row>
    <row r="72" ht="15.75" customHeight="1">
      <c r="B72" s="15"/>
      <c r="F72" s="15"/>
    </row>
    <row r="73" ht="15.75" customHeight="1">
      <c r="B73" s="15"/>
      <c r="F73" s="15"/>
    </row>
    <row r="74" ht="15.75" customHeight="1">
      <c r="B74" s="15"/>
      <c r="F74" s="15"/>
    </row>
    <row r="75" ht="15.75" customHeight="1">
      <c r="B75" s="15"/>
      <c r="F75" s="15"/>
    </row>
    <row r="76" ht="15.75" customHeight="1">
      <c r="B76" s="15"/>
      <c r="F76" s="15"/>
    </row>
    <row r="77" ht="15.75" customHeight="1">
      <c r="B77" s="15"/>
      <c r="F77" s="15"/>
    </row>
    <row r="78" ht="15.75" customHeight="1">
      <c r="B78" s="15"/>
      <c r="F78" s="15"/>
    </row>
    <row r="79" ht="15.75" customHeight="1">
      <c r="B79" s="15"/>
      <c r="F79" s="15"/>
    </row>
    <row r="80" ht="15.75" customHeight="1">
      <c r="B80" s="15"/>
      <c r="F80" s="15"/>
    </row>
    <row r="81" ht="15.75" customHeight="1">
      <c r="B81" s="15"/>
      <c r="F81" s="15"/>
    </row>
    <row r="82" ht="15.75" customHeight="1">
      <c r="B82" s="15"/>
      <c r="F82" s="15"/>
    </row>
    <row r="83" ht="15.75" customHeight="1">
      <c r="B83" s="15"/>
      <c r="F83" s="15"/>
    </row>
    <row r="84" ht="15.75" customHeight="1">
      <c r="B84" s="15"/>
      <c r="F84" s="15"/>
    </row>
    <row r="85" ht="15.75" customHeight="1">
      <c r="B85" s="15"/>
      <c r="F85" s="15"/>
    </row>
    <row r="86" ht="15.75" customHeight="1">
      <c r="B86" s="15"/>
      <c r="F86" s="15"/>
    </row>
    <row r="87" ht="15.75" customHeight="1">
      <c r="B87" s="15"/>
      <c r="F87" s="15"/>
    </row>
    <row r="88" ht="15.75" customHeight="1">
      <c r="B88" s="15"/>
      <c r="F88" s="15"/>
    </row>
    <row r="89" ht="15.75" customHeight="1">
      <c r="B89" s="15"/>
      <c r="F89" s="15"/>
    </row>
    <row r="90" ht="15.75" customHeight="1">
      <c r="B90" s="15"/>
      <c r="F90" s="15"/>
    </row>
    <row r="91" ht="15.75" customHeight="1">
      <c r="B91" s="15"/>
      <c r="F91" s="15"/>
    </row>
    <row r="92" ht="15.75" customHeight="1">
      <c r="B92" s="15"/>
      <c r="F92" s="15"/>
    </row>
    <row r="93" ht="15.75" customHeight="1">
      <c r="B93" s="15"/>
      <c r="F93" s="15"/>
    </row>
    <row r="94" ht="15.75" customHeight="1">
      <c r="B94" s="15"/>
      <c r="F94" s="15"/>
    </row>
    <row r="95" ht="15.75" customHeight="1">
      <c r="B95" s="15"/>
      <c r="F95" s="15"/>
    </row>
    <row r="96" ht="15.75" customHeight="1">
      <c r="B96" s="15"/>
      <c r="F96" s="15"/>
    </row>
    <row r="97" ht="15.75" customHeight="1">
      <c r="B97" s="15"/>
      <c r="F97" s="15"/>
    </row>
    <row r="98" ht="15.75" customHeight="1">
      <c r="B98" s="15"/>
      <c r="F98" s="15"/>
    </row>
    <row r="99" ht="15.75" customHeight="1">
      <c r="B99" s="15"/>
      <c r="F99" s="15"/>
    </row>
    <row r="100" ht="15.75" customHeight="1">
      <c r="B100" s="15"/>
      <c r="F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00 F2:F100">
      <formula1>Members!$A$2:$A$6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71"/>
    <col customWidth="1" min="5" max="26" width="9.0"/>
  </cols>
  <sheetData>
    <row r="1">
      <c r="A1" s="1" t="s">
        <v>181</v>
      </c>
      <c r="B1" s="1" t="s">
        <v>198</v>
      </c>
      <c r="C1" s="1" t="s">
        <v>199</v>
      </c>
      <c r="D1" s="1" t="s">
        <v>201</v>
      </c>
    </row>
    <row r="2">
      <c r="A2" s="7" t="s">
        <v>203</v>
      </c>
      <c r="B2" s="7">
        <v>64.0</v>
      </c>
      <c r="C2" s="7">
        <v>64.0</v>
      </c>
      <c r="D2" s="7">
        <v>13.0</v>
      </c>
    </row>
    <row r="3">
      <c r="A3" s="7" t="s">
        <v>206</v>
      </c>
      <c r="B3" s="7">
        <f>64-(1*(64/10))</f>
        <v>57.6</v>
      </c>
      <c r="C3" s="7">
        <v>59.6</v>
      </c>
      <c r="D3" s="7">
        <v>12.0</v>
      </c>
    </row>
    <row r="4">
      <c r="A4" s="7" t="s">
        <v>210</v>
      </c>
      <c r="B4" s="7">
        <f>64-(2*(64/10))</f>
        <v>51.2</v>
      </c>
      <c r="C4" s="7">
        <v>53.2</v>
      </c>
      <c r="D4" s="7">
        <v>10.0</v>
      </c>
    </row>
    <row r="5">
      <c r="A5" s="7" t="s">
        <v>211</v>
      </c>
      <c r="B5" s="7">
        <f>64-(3*(64/10))</f>
        <v>44.8</v>
      </c>
      <c r="C5" s="7">
        <v>46.8</v>
      </c>
      <c r="D5" s="7">
        <v>9.0</v>
      </c>
    </row>
    <row r="6">
      <c r="A6" s="7" t="s">
        <v>212</v>
      </c>
      <c r="B6" s="7">
        <f>64-(4*(64/10))</f>
        <v>38.4</v>
      </c>
      <c r="C6" s="7">
        <v>40.4</v>
      </c>
      <c r="D6" s="7">
        <v>8.0</v>
      </c>
    </row>
    <row r="7">
      <c r="A7" s="7" t="s">
        <v>213</v>
      </c>
      <c r="B7" s="7">
        <f>64-(5*(64/10))</f>
        <v>32</v>
      </c>
      <c r="C7" s="7">
        <v>30.0</v>
      </c>
      <c r="D7" s="7">
        <v>6.0</v>
      </c>
    </row>
    <row r="8">
      <c r="A8" s="7" t="s">
        <v>214</v>
      </c>
      <c r="B8" s="7">
        <f>64-(6*(64/10))</f>
        <v>25.6</v>
      </c>
      <c r="C8" s="7">
        <v>23.6</v>
      </c>
      <c r="D8" s="7">
        <v>5.0</v>
      </c>
    </row>
    <row r="9">
      <c r="A9" s="7" t="s">
        <v>215</v>
      </c>
      <c r="B9" s="7">
        <f>64-(7*(64/10))</f>
        <v>19.2</v>
      </c>
      <c r="C9" s="7">
        <v>17.2</v>
      </c>
      <c r="D9" s="7">
        <v>4.0</v>
      </c>
    </row>
    <row r="10">
      <c r="A10" s="7" t="s">
        <v>216</v>
      </c>
      <c r="B10" s="7">
        <f>64-(8*(64/10))</f>
        <v>12.8</v>
      </c>
      <c r="C10" s="7">
        <v>10.8</v>
      </c>
      <c r="D10" s="7">
        <v>3.0</v>
      </c>
    </row>
    <row r="11">
      <c r="A11" s="7" t="s">
        <v>217</v>
      </c>
      <c r="B11" s="7">
        <f>64-(9*(64/10))</f>
        <v>6.4</v>
      </c>
      <c r="C11" s="7">
        <v>4.4</v>
      </c>
      <c r="D11" s="7">
        <v>1.0</v>
      </c>
    </row>
    <row r="12">
      <c r="A12" s="7" t="s">
        <v>218</v>
      </c>
      <c r="B12" s="7">
        <f>64-(10*(64/10))</f>
        <v>0</v>
      </c>
      <c r="C12" s="7">
        <v>0.0</v>
      </c>
      <c r="D12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71"/>
    <col customWidth="1" min="4" max="26" width="9.0"/>
  </cols>
  <sheetData>
    <row r="1">
      <c r="A1" s="1" t="s">
        <v>200</v>
      </c>
      <c r="B1" s="1" t="s">
        <v>202</v>
      </c>
      <c r="C1" s="1" t="s">
        <v>204</v>
      </c>
    </row>
    <row r="2">
      <c r="A2" s="7" t="s">
        <v>205</v>
      </c>
      <c r="B2" s="7">
        <v>24.0</v>
      </c>
      <c r="C2" s="7">
        <v>24.0</v>
      </c>
    </row>
    <row r="3">
      <c r="A3" s="7" t="s">
        <v>207</v>
      </c>
      <c r="B3" s="7">
        <v>27.0</v>
      </c>
      <c r="C3" s="7">
        <v>27.0</v>
      </c>
    </row>
    <row r="4">
      <c r="A4" s="7" t="s">
        <v>208</v>
      </c>
      <c r="B4" s="7">
        <v>30.0</v>
      </c>
      <c r="C4" s="7">
        <v>28.0</v>
      </c>
    </row>
    <row r="5">
      <c r="A5" s="7" t="s">
        <v>209</v>
      </c>
      <c r="B5" s="7">
        <v>42.0</v>
      </c>
      <c r="C5" s="7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71"/>
    <col customWidth="1" min="3" max="4" width="15.71"/>
    <col customWidth="1" min="5" max="5" width="51.71"/>
    <col customWidth="1" min="6" max="6" width="22.71"/>
    <col customWidth="1" min="7" max="7" width="15.71"/>
    <col customWidth="1" min="8" max="26" width="9.0"/>
  </cols>
  <sheetData>
    <row r="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s="7" t="s">
        <v>194</v>
      </c>
      <c r="B2" s="2" t="s">
        <v>195</v>
      </c>
      <c r="C2" s="7" t="s">
        <v>14</v>
      </c>
      <c r="D2" s="7" t="s">
        <v>4</v>
      </c>
      <c r="E2" s="2" t="s">
        <v>196</v>
      </c>
      <c r="F2" s="7" t="s">
        <v>28</v>
      </c>
      <c r="G2" s="7" t="s">
        <v>197</v>
      </c>
    </row>
    <row r="3">
      <c r="F3" s="15"/>
    </row>
    <row r="4">
      <c r="F4" s="15"/>
    </row>
    <row r="5">
      <c r="F5" s="15"/>
    </row>
    <row r="6">
      <c r="F6" s="15"/>
    </row>
    <row r="7">
      <c r="F7" s="15"/>
    </row>
    <row r="8">
      <c r="F8" s="15"/>
    </row>
    <row r="9">
      <c r="F9" s="15"/>
    </row>
    <row r="10">
      <c r="F10" s="15"/>
    </row>
    <row r="11">
      <c r="F11" s="15"/>
    </row>
    <row r="12">
      <c r="F12" s="15"/>
    </row>
    <row r="13">
      <c r="F13" s="15"/>
    </row>
    <row r="14">
      <c r="F14" s="15"/>
    </row>
    <row r="15">
      <c r="F15" s="15"/>
    </row>
    <row r="16">
      <c r="F16" s="15"/>
    </row>
    <row r="17">
      <c r="F17" s="15"/>
    </row>
    <row r="18">
      <c r="F18" s="15"/>
    </row>
    <row r="19">
      <c r="F19" s="15"/>
    </row>
    <row r="20">
      <c r="F20" s="15"/>
    </row>
    <row r="21" ht="15.75" customHeight="1">
      <c r="F21" s="15"/>
    </row>
    <row r="22" ht="15.75" customHeight="1">
      <c r="F22" s="15"/>
    </row>
    <row r="23" ht="15.75" customHeight="1">
      <c r="F23" s="15"/>
    </row>
    <row r="24" ht="15.75" customHeight="1">
      <c r="F24" s="15"/>
    </row>
    <row r="25" ht="15.75" customHeight="1">
      <c r="F25" s="15"/>
    </row>
    <row r="26" ht="15.75" customHeight="1">
      <c r="F26" s="15"/>
    </row>
    <row r="27" ht="15.75" customHeight="1">
      <c r="F27" s="15"/>
    </row>
    <row r="28" ht="15.75" customHeight="1">
      <c r="F28" s="15"/>
    </row>
    <row r="29" ht="15.75" customHeight="1">
      <c r="F29" s="15"/>
    </row>
    <row r="30" ht="15.75" customHeight="1">
      <c r="F30" s="15"/>
    </row>
    <row r="31" ht="15.75" customHeight="1">
      <c r="F31" s="15"/>
    </row>
    <row r="32" ht="15.75" customHeight="1">
      <c r="F32" s="15"/>
    </row>
    <row r="33" ht="15.75" customHeight="1">
      <c r="F33" s="15"/>
    </row>
    <row r="34" ht="15.75" customHeight="1">
      <c r="F34" s="15"/>
    </row>
    <row r="35" ht="15.75" customHeight="1">
      <c r="F35" s="15"/>
    </row>
    <row r="36" ht="15.75" customHeight="1">
      <c r="F36" s="15"/>
    </row>
    <row r="37" ht="15.75" customHeight="1">
      <c r="F37" s="15"/>
    </row>
    <row r="38" ht="15.75" customHeight="1">
      <c r="F38" s="15"/>
    </row>
    <row r="39" ht="15.75" customHeight="1">
      <c r="F39" s="15"/>
    </row>
    <row r="40" ht="15.75" customHeight="1">
      <c r="F40" s="15"/>
    </row>
    <row r="41" ht="15.75" customHeight="1">
      <c r="F41" s="15"/>
    </row>
    <row r="42" ht="15.75" customHeight="1">
      <c r="F42" s="15"/>
    </row>
    <row r="43" ht="15.75" customHeight="1">
      <c r="F43" s="15"/>
    </row>
    <row r="44" ht="15.75" customHeight="1">
      <c r="F44" s="15"/>
    </row>
    <row r="45" ht="15.75" customHeight="1">
      <c r="F45" s="15"/>
    </row>
    <row r="46" ht="15.75" customHeight="1">
      <c r="F46" s="15"/>
    </row>
    <row r="47" ht="15.75" customHeight="1">
      <c r="F47" s="15"/>
    </row>
    <row r="48" ht="15.75" customHeight="1">
      <c r="F48" s="15"/>
    </row>
    <row r="49" ht="15.75" customHeight="1">
      <c r="F49" s="15"/>
    </row>
    <row r="50" ht="15.75" customHeight="1">
      <c r="F50" s="15"/>
    </row>
    <row r="51" ht="15.75" customHeight="1">
      <c r="F51" s="15"/>
    </row>
    <row r="52" ht="15.75" customHeight="1">
      <c r="F52" s="15"/>
    </row>
    <row r="53" ht="15.75" customHeight="1">
      <c r="F53" s="15"/>
    </row>
    <row r="54" ht="15.75" customHeight="1">
      <c r="F54" s="15"/>
    </row>
    <row r="55" ht="15.75" customHeight="1">
      <c r="F55" s="15"/>
    </row>
    <row r="56" ht="15.75" customHeight="1">
      <c r="F56" s="15"/>
    </row>
    <row r="57" ht="15.75" customHeight="1">
      <c r="F57" s="15"/>
    </row>
    <row r="58" ht="15.75" customHeight="1">
      <c r="F58" s="15"/>
    </row>
    <row r="59" ht="15.75" customHeight="1">
      <c r="F59" s="15"/>
    </row>
    <row r="60" ht="15.75" customHeight="1">
      <c r="F60" s="15"/>
    </row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F71" s="15"/>
    </row>
    <row r="72" ht="15.75" customHeight="1">
      <c r="F72" s="15"/>
    </row>
    <row r="73" ht="15.75" customHeight="1">
      <c r="F73" s="15"/>
    </row>
    <row r="74" ht="15.75" customHeight="1">
      <c r="F74" s="15"/>
    </row>
    <row r="75" ht="15.75" customHeight="1">
      <c r="F75" s="15"/>
    </row>
    <row r="76" ht="15.75" customHeight="1">
      <c r="F76" s="15"/>
    </row>
    <row r="77" ht="15.75" customHeight="1">
      <c r="F77" s="15"/>
    </row>
    <row r="78" ht="15.75" customHeight="1">
      <c r="F78" s="15"/>
    </row>
    <row r="79" ht="15.75" customHeight="1">
      <c r="F79" s="15"/>
    </row>
    <row r="80" ht="15.75" customHeight="1">
      <c r="F80" s="15"/>
    </row>
    <row r="81" ht="15.75" customHeight="1">
      <c r="F81" s="15"/>
    </row>
    <row r="82" ht="15.75" customHeight="1">
      <c r="F82" s="15"/>
    </row>
    <row r="83" ht="15.75" customHeight="1">
      <c r="F83" s="15"/>
    </row>
    <row r="84" ht="15.75" customHeight="1">
      <c r="F84" s="15"/>
    </row>
    <row r="85" ht="15.75" customHeight="1">
      <c r="F85" s="15"/>
    </row>
    <row r="86" ht="15.75" customHeight="1">
      <c r="F86" s="15"/>
    </row>
    <row r="87" ht="15.75" customHeight="1">
      <c r="F87" s="15"/>
    </row>
    <row r="88" ht="15.75" customHeight="1">
      <c r="F88" s="15"/>
    </row>
    <row r="89" ht="15.75" customHeight="1">
      <c r="F89" s="15"/>
    </row>
    <row r="90" ht="15.75" customHeight="1">
      <c r="F90" s="15"/>
    </row>
    <row r="91" ht="15.75" customHeight="1">
      <c r="F91" s="15"/>
    </row>
    <row r="92" ht="15.75" customHeight="1">
      <c r="F92" s="15"/>
    </row>
    <row r="93" ht="15.75" customHeight="1">
      <c r="F93" s="15"/>
    </row>
    <row r="94" ht="15.75" customHeight="1">
      <c r="F94" s="15"/>
    </row>
    <row r="95" ht="15.75" customHeight="1">
      <c r="F95" s="15"/>
    </row>
    <row r="96" ht="15.75" customHeight="1">
      <c r="F96" s="15"/>
    </row>
    <row r="97" ht="15.75" customHeight="1">
      <c r="F97" s="15"/>
    </row>
    <row r="98" ht="15.75" customHeight="1">
      <c r="F98" s="15"/>
    </row>
    <row r="99" ht="15.75" customHeight="1">
      <c r="F99" s="15"/>
    </row>
    <row r="100" ht="15.75" customHeight="1">
      <c r="F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0">
      <formula1>Members!$A$2:$A$6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6" width="30.71"/>
    <col customWidth="1" min="7" max="26" width="9.0"/>
  </cols>
  <sheetData>
    <row r="1">
      <c r="A1" s="1" t="s">
        <v>200</v>
      </c>
      <c r="B1" s="1" t="s">
        <v>219</v>
      </c>
      <c r="C1" s="1" t="s">
        <v>193</v>
      </c>
      <c r="D1" s="1" t="s">
        <v>220</v>
      </c>
      <c r="E1" s="1" t="s">
        <v>221</v>
      </c>
    </row>
    <row r="2">
      <c r="A2" s="7" t="s">
        <v>205</v>
      </c>
      <c r="B2" s="7" t="s">
        <v>31</v>
      </c>
      <c r="C2" s="7" t="s">
        <v>222</v>
      </c>
      <c r="D2" s="2" t="s">
        <v>223</v>
      </c>
      <c r="E2" s="2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41.29"/>
    <col customWidth="1" min="3" max="3" width="47.0"/>
    <col customWidth="1" min="4" max="6" width="15.71"/>
    <col customWidth="1" min="7" max="26" width="9.0"/>
  </cols>
  <sheetData>
    <row r="1">
      <c r="A1" s="1" t="s">
        <v>225</v>
      </c>
      <c r="B1" s="1" t="s">
        <v>226</v>
      </c>
      <c r="C1" s="1" t="s">
        <v>227</v>
      </c>
      <c r="D1" s="1" t="s">
        <v>192</v>
      </c>
      <c r="E1" s="1" t="s">
        <v>228</v>
      </c>
      <c r="F1" s="1" t="s">
        <v>193</v>
      </c>
    </row>
    <row r="2">
      <c r="A2" s="2" t="s">
        <v>229</v>
      </c>
      <c r="B2" s="2" t="s">
        <v>230</v>
      </c>
      <c r="C2" s="2" t="s">
        <v>231</v>
      </c>
      <c r="D2" s="7" t="s">
        <v>32</v>
      </c>
      <c r="E2" s="7" t="s">
        <v>232</v>
      </c>
      <c r="F2" s="7" t="s">
        <v>13</v>
      </c>
    </row>
    <row r="3">
      <c r="D3" s="15"/>
    </row>
    <row r="4">
      <c r="D4" s="15"/>
    </row>
    <row r="5">
      <c r="D5" s="15"/>
    </row>
    <row r="6">
      <c r="D6" s="15"/>
    </row>
    <row r="7">
      <c r="D7" s="15"/>
    </row>
    <row r="8">
      <c r="D8" s="15"/>
    </row>
    <row r="9">
      <c r="D9" s="15"/>
    </row>
    <row r="10">
      <c r="D10" s="15"/>
    </row>
    <row r="11">
      <c r="D11" s="15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 ht="15.75" customHeight="1">
      <c r="D21" s="15"/>
    </row>
    <row r="22" ht="15.75" customHeight="1">
      <c r="D22" s="15"/>
    </row>
    <row r="23" ht="15.75" customHeight="1">
      <c r="D23" s="15"/>
    </row>
    <row r="24" ht="15.75" customHeight="1">
      <c r="D24" s="15"/>
    </row>
    <row r="25" ht="15.75" customHeight="1">
      <c r="D25" s="15"/>
    </row>
    <row r="26" ht="15.75" customHeight="1">
      <c r="D26" s="15"/>
    </row>
    <row r="27" ht="15.75" customHeight="1">
      <c r="D27" s="15"/>
    </row>
    <row r="28" ht="15.75" customHeight="1">
      <c r="D28" s="15"/>
    </row>
    <row r="29" ht="15.75" customHeight="1">
      <c r="D29" s="15"/>
    </row>
    <row r="30" ht="15.75" customHeight="1">
      <c r="D30" s="15"/>
    </row>
    <row r="31" ht="15.75" customHeight="1">
      <c r="D31" s="15"/>
    </row>
    <row r="32" ht="15.75" customHeight="1">
      <c r="D32" s="15"/>
    </row>
    <row r="33" ht="15.75" customHeight="1">
      <c r="D33" s="15"/>
    </row>
    <row r="34" ht="15.75" customHeight="1">
      <c r="D34" s="15"/>
    </row>
    <row r="35" ht="15.75" customHeight="1">
      <c r="D35" s="15"/>
    </row>
    <row r="36" ht="15.75" customHeight="1">
      <c r="D36" s="15"/>
    </row>
    <row r="37" ht="15.75" customHeight="1">
      <c r="D37" s="15"/>
    </row>
    <row r="38" ht="15.75" customHeight="1">
      <c r="D38" s="15"/>
    </row>
    <row r="39" ht="15.75" customHeight="1">
      <c r="D39" s="15"/>
    </row>
    <row r="40" ht="15.75" customHeight="1">
      <c r="D40" s="15"/>
    </row>
    <row r="41" ht="15.75" customHeight="1">
      <c r="D41" s="15"/>
    </row>
    <row r="42" ht="15.75" customHeight="1">
      <c r="D42" s="15"/>
    </row>
    <row r="43" ht="15.75" customHeight="1">
      <c r="D43" s="15"/>
    </row>
    <row r="44" ht="15.75" customHeight="1">
      <c r="D44" s="15"/>
    </row>
    <row r="45" ht="15.75" customHeight="1">
      <c r="D45" s="15"/>
    </row>
    <row r="46" ht="15.75" customHeight="1">
      <c r="D46" s="15"/>
    </row>
    <row r="47" ht="15.75" customHeight="1">
      <c r="D47" s="15"/>
    </row>
    <row r="48" ht="15.75" customHeight="1">
      <c r="D48" s="15"/>
    </row>
    <row r="49" ht="15.75" customHeight="1">
      <c r="D49" s="15"/>
    </row>
    <row r="50" ht="15.75" customHeight="1">
      <c r="D50" s="15"/>
    </row>
    <row r="51" ht="15.75" customHeight="1">
      <c r="D51" s="15"/>
    </row>
    <row r="52" ht="15.75" customHeight="1">
      <c r="D52" s="15"/>
    </row>
    <row r="53" ht="15.75" customHeight="1">
      <c r="D53" s="15"/>
    </row>
    <row r="54" ht="15.75" customHeight="1">
      <c r="D54" s="15"/>
    </row>
    <row r="55" ht="15.75" customHeight="1">
      <c r="D55" s="15"/>
    </row>
    <row r="56" ht="15.75" customHeight="1">
      <c r="D56" s="15"/>
    </row>
    <row r="57" ht="15.75" customHeight="1">
      <c r="D57" s="15"/>
    </row>
    <row r="58" ht="15.75" customHeight="1">
      <c r="D58" s="15"/>
    </row>
    <row r="59" ht="15.75" customHeight="1">
      <c r="D59" s="15"/>
    </row>
    <row r="60" ht="15.75" customHeight="1">
      <c r="D60" s="15"/>
    </row>
    <row r="61" ht="15.75" customHeight="1">
      <c r="D61" s="15"/>
    </row>
    <row r="62" ht="15.75" customHeight="1">
      <c r="D62" s="15"/>
    </row>
    <row r="63" ht="15.75" customHeight="1">
      <c r="D63" s="15"/>
    </row>
    <row r="64" ht="15.75" customHeight="1">
      <c r="D64" s="15"/>
    </row>
    <row r="65" ht="15.75" customHeight="1">
      <c r="D65" s="15"/>
    </row>
    <row r="66" ht="15.75" customHeight="1">
      <c r="D66" s="15"/>
    </row>
    <row r="67" ht="15.75" customHeight="1">
      <c r="D67" s="15"/>
    </row>
    <row r="68" ht="15.75" customHeight="1">
      <c r="D68" s="15"/>
    </row>
    <row r="69" ht="15.75" customHeight="1">
      <c r="D69" s="15"/>
    </row>
    <row r="70" ht="15.75" customHeight="1">
      <c r="D70" s="15"/>
    </row>
    <row r="71" ht="15.75" customHeight="1">
      <c r="D71" s="15"/>
    </row>
    <row r="72" ht="15.75" customHeight="1">
      <c r="D72" s="15"/>
    </row>
    <row r="73" ht="15.75" customHeight="1">
      <c r="D73" s="15"/>
    </row>
    <row r="74" ht="15.75" customHeight="1">
      <c r="D74" s="15"/>
    </row>
    <row r="75" ht="15.75" customHeight="1">
      <c r="D75" s="15"/>
    </row>
    <row r="76" ht="15.75" customHeight="1">
      <c r="D76" s="15"/>
    </row>
    <row r="77" ht="15.75" customHeight="1">
      <c r="D77" s="15"/>
    </row>
    <row r="78" ht="15.75" customHeight="1">
      <c r="D78" s="15"/>
    </row>
    <row r="79" ht="15.75" customHeight="1">
      <c r="D79" s="15"/>
    </row>
    <row r="80" ht="15.75" customHeight="1">
      <c r="D80" s="15"/>
    </row>
    <row r="81" ht="15.75" customHeight="1">
      <c r="D81" s="15"/>
    </row>
    <row r="82" ht="15.75" customHeight="1">
      <c r="D82" s="15"/>
    </row>
    <row r="83" ht="15.75" customHeight="1">
      <c r="D83" s="15"/>
    </row>
    <row r="84" ht="15.75" customHeight="1">
      <c r="D84" s="15"/>
    </row>
    <row r="85" ht="15.75" customHeight="1">
      <c r="D85" s="15"/>
    </row>
    <row r="86" ht="15.75" customHeight="1">
      <c r="D86" s="15"/>
    </row>
    <row r="87" ht="15.75" customHeight="1">
      <c r="D87" s="15"/>
    </row>
    <row r="88" ht="15.75" customHeight="1">
      <c r="D88" s="15"/>
    </row>
    <row r="89" ht="15.75" customHeight="1">
      <c r="D89" s="15"/>
    </row>
    <row r="90" ht="15.75" customHeight="1">
      <c r="D90" s="15"/>
    </row>
    <row r="91" ht="15.75" customHeight="1">
      <c r="D91" s="15"/>
    </row>
    <row r="92" ht="15.75" customHeight="1">
      <c r="D92" s="15"/>
    </row>
    <row r="93" ht="15.75" customHeight="1">
      <c r="D93" s="15"/>
    </row>
    <row r="94" ht="15.75" customHeight="1">
      <c r="D94" s="15"/>
    </row>
    <row r="95" ht="15.75" customHeight="1">
      <c r="D95" s="15"/>
    </row>
    <row r="96" ht="15.75" customHeight="1">
      <c r="D96" s="15"/>
    </row>
    <row r="97" ht="15.75" customHeight="1">
      <c r="D97" s="15"/>
    </row>
    <row r="98" ht="15.75" customHeight="1">
      <c r="D98" s="15"/>
    </row>
    <row r="99" ht="15.75" customHeight="1">
      <c r="D99" s="15"/>
    </row>
    <row r="100" ht="15.75" customHeight="1">
      <c r="D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Members!$A$2:$A$6</formula1>
    </dataValidation>
  </dataValidations>
  <printOptions/>
  <pageMargins bottom="0.75" footer="0.0" header="0.0" left="0.7" right="0.7" top="0.75"/>
  <pageSetup orientation="landscape"/>
  <drawing r:id="rId1"/>
</worksheet>
</file>